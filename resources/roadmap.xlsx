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S105665\Downloads\"/>
    </mc:Choice>
  </mc:AlternateContent>
  <xr:revisionPtr revIDLastSave="0" documentId="13_ncr:1_{6B36A126-6CD6-4031-9648-72BDCC370E11}" xr6:coauthVersionLast="47" xr6:coauthVersionMax="47" xr10:uidLastSave="{00000000-0000-0000-0000-000000000000}"/>
  <bookViews>
    <workbookView xWindow="-96" yWindow="-96" windowWidth="23232" windowHeight="13872" tabRatio="500" activeTab="1" xr2:uid="{00000000-000D-0000-FFFF-FFFF00000000}"/>
  </bookViews>
  <sheets>
    <sheet name="Dashboard" sheetId="1" r:id="rId1"/>
    <sheet name="Plan" sheetId="2" r:id="rId2"/>
    <sheet name="Mistake Sheet" sheetId="3" r:id="rId3"/>
    <sheet name="Sheet1" sheetId="4" r:id="rId4"/>
  </sheets>
  <definedNames>
    <definedName name="_xlnm._FilterDatabase" localSheetId="1" hidden="1">Plan!$A$1:$G$358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E42" i="1" s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E19" i="1" s="1"/>
  <c r="C19" i="1"/>
  <c r="B19" i="1"/>
  <c r="D18" i="1"/>
  <c r="C18" i="1"/>
  <c r="B18" i="1"/>
  <c r="D17" i="1"/>
  <c r="C17" i="1"/>
  <c r="B17" i="1"/>
  <c r="D16" i="1"/>
  <c r="C16" i="1"/>
  <c r="B16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C3" i="1"/>
  <c r="B3" i="1"/>
  <c r="E26" i="1" l="1"/>
  <c r="E49" i="1"/>
  <c r="E33" i="1"/>
  <c r="E53" i="1"/>
  <c r="E23" i="1"/>
  <c r="E40" i="1"/>
  <c r="E45" i="1"/>
  <c r="E46" i="1"/>
  <c r="E17" i="1"/>
  <c r="E16" i="1"/>
  <c r="E7" i="1"/>
  <c r="E44" i="1"/>
  <c r="E31" i="1"/>
  <c r="E51" i="1"/>
  <c r="E50" i="1"/>
  <c r="E37" i="1"/>
  <c r="E30" i="1"/>
  <c r="E11" i="1"/>
  <c r="E21" i="1"/>
  <c r="E38" i="1"/>
  <c r="E22" i="1"/>
  <c r="D3" i="1"/>
  <c r="E32" i="1"/>
  <c r="E52" i="1"/>
  <c r="E43" i="1"/>
  <c r="E12" i="1"/>
  <c r="E39" i="1"/>
  <c r="E20" i="1"/>
  <c r="E54" i="1"/>
  <c r="E10" i="1"/>
  <c r="E24" i="1"/>
  <c r="E47" i="1"/>
  <c r="E34" i="1"/>
  <c r="E41" i="1"/>
  <c r="E36" i="1"/>
  <c r="E8" i="1"/>
  <c r="E48" i="1"/>
  <c r="E18" i="1"/>
  <c r="E25" i="1"/>
  <c r="E9" i="1"/>
  <c r="E35" i="1"/>
  <c r="E55" i="1"/>
</calcChain>
</file>

<file path=xl/sharedStrings.xml><?xml version="1.0" encoding="utf-8"?>
<sst xmlns="http://schemas.openxmlformats.org/spreadsheetml/2006/main" count="1285" uniqueCount="422">
  <si>
    <t>Status</t>
  </si>
  <si>
    <t>Month</t>
  </si>
  <si>
    <t>Week</t>
  </si>
  <si>
    <t>Category</t>
  </si>
  <si>
    <t>Task</t>
  </si>
  <si>
    <t>Link</t>
  </si>
  <si>
    <t>More links</t>
  </si>
  <si>
    <t>Week 1 plan</t>
  </si>
  <si>
    <t>DSA: Arrays &amp; hashing: duplicates, anagrams, two sum, top-K
C++: Dynamic array (vector); type deduction and `auto` (EMC++ 1-6)
System design: Singleton and dependency injection (GPP)</t>
  </si>
  <si>
    <t>Not started</t>
  </si>
  <si>
    <t>DSA</t>
  </si>
  <si>
    <t>Contains Duplicate</t>
  </si>
  <si>
    <t>LeetCode</t>
  </si>
  <si>
    <t>Valid Anagram</t>
  </si>
  <si>
    <t>Two Sum</t>
  </si>
  <si>
    <t>Group Anagrams</t>
  </si>
  <si>
    <t>Top K Frequent Elements</t>
  </si>
  <si>
    <t>(Stretch) Product of Array Except Self</t>
  </si>
  <si>
    <t>(Stretch) Valid Sudoku</t>
  </si>
  <si>
    <t>(Stretch) Encode and Decode Strings (premium on LeetCode; use the free LintCode or NeetCode version)</t>
  </si>
  <si>
    <t>C++ build</t>
  </si>
  <si>
    <t>dynamic array (vector)</t>
  </si>
  <si>
    <t>Reading: C++</t>
  </si>
  <si>
    <t>EMC++ Items 1-6 (type deduction, `auto`)</t>
  </si>
  <si>
    <t>Reading: Design</t>
  </si>
  <si>
    <t>GPP Singleton</t>
  </si>
  <si>
    <t>GPP</t>
  </si>
  <si>
    <t>Saturday design</t>
  </si>
  <si>
    <t>redesign a singleton-based module (logger or config manager) with dependency injection, on paper</t>
  </si>
  <si>
    <t>Portfolio</t>
  </si>
  <si>
    <t>Create the GitHub repo `cpp-toolkit`: CMake, GoogleTest or Catch2, README skeleton; add your vector</t>
  </si>
  <si>
    <t>Revision</t>
  </si>
  <si>
    <t>Review the Mistake Sheet; re-solve 2 problems you missed</t>
  </si>
  <si>
    <t>Sunday career</t>
  </si>
  <si>
    <t>rewrite resume bullets with metrics</t>
  </si>
  <si>
    <t>Week 2 plan</t>
  </si>
  <si>
    <t>DSA: Two pointers: palindrome, 3Sum, container with most water, trapping rain water
C++: `unique_ptr`; special member functions and smart pointers (EMC++ 17-22)
System design: State pattern, pimpl; vending-machine state machine</t>
  </si>
  <si>
    <t>Valid Palindrome</t>
  </si>
  <si>
    <t>Two Sum II</t>
  </si>
  <si>
    <t>3Sum</t>
  </si>
  <si>
    <t>Container With Most Water</t>
  </si>
  <si>
    <t>Trapping Rain Water</t>
  </si>
  <si>
    <t>`unique_ptr`</t>
  </si>
  <si>
    <t>EMC++ Items 17-22 (special member functions, smart pointers)</t>
  </si>
  <si>
    <t>GPP State; pimpl idiom on cppreference</t>
  </si>
  <si>
    <t>https://en.cppreference.com/w/cpp/language/pimpl</t>
  </si>
  <si>
    <t>model a vending-machine or traffic-light flow (idle, selecting, paying, dispensing) as a C++ state machine</t>
  </si>
  <si>
    <t>Add your `unique_ptr` with tests; set up GitHub Actions CI (build + test)</t>
  </si>
  <si>
    <t>finish resume bullets</t>
  </si>
  <si>
    <t>Week 3 plan</t>
  </si>
  <si>
    <t>DSA: Sliding window: best time to trade, longest substring, permutation in string
C++: `shared_ptr` / `weak_ptr`; move semantics and forwarding references (EMC++ 23-26)
System design: Observer and Event Queue; in-process event bus</t>
  </si>
  <si>
    <t>Best Time to Buy and Sell Stock</t>
  </si>
  <si>
    <t>Longest Substring Without Repeating Characters</t>
  </si>
  <si>
    <t>Longest Repeating Character Replacement</t>
  </si>
  <si>
    <t>Permutation in String</t>
  </si>
  <si>
    <t>(Stretch) Minimum Window Substring</t>
  </si>
  <si>
    <t>`shared_ptr` / `weak_ptr` basics</t>
  </si>
  <si>
    <t>EMC++ Items 23-26 (move semantics, forwarding references)</t>
  </si>
  <si>
    <t>GPP Observer, Event Queue</t>
  </si>
  <si>
    <t>https://gameprogrammingpatterns.com/event-queue.html</t>
  </si>
  <si>
    <t>design an in-process event bus / pub-sub: ownership, lifetime and unsubscribe bugs</t>
  </si>
  <si>
    <t>Add `shared_ptr`/`weak_ptr`; enable AddressSanitizer in CMake</t>
  </si>
  <si>
    <t>write behavioral story #1 (STAR format)</t>
  </si>
  <si>
    <t>Week 4 plan</t>
  </si>
  <si>
    <t>DSA: Stack: valid parentheses, min stack, RPN, daily temperatures, car fleet
C++: RAII wrappers; String class with the Rule of 5
System design: Command and Object Pool; undo/redo design</t>
  </si>
  <si>
    <t>Valid Parentheses</t>
  </si>
  <si>
    <t>Min Stack</t>
  </si>
  <si>
    <t>Evaluate Reverse Polish Notation</t>
  </si>
  <si>
    <t>Daily Temperatures</t>
  </si>
  <si>
    <t>Car Fleet</t>
  </si>
  <si>
    <t>(Stretch) Largest Rectangle in Histogram</t>
  </si>
  <si>
    <t>RAII wrappers (scoped lock, file handle)</t>
  </si>
  <si>
    <t>String class with the Rule of 5 (copy/move constructors and assignment), with tests</t>
  </si>
  <si>
    <t>CppCon "Back to Basics: RAII"; Rule of 5 / Rule of 0 (cppreference); `std::lock_guard` and `std::unique_lock`</t>
  </si>
  <si>
    <t>GPP Command, Object Pool</t>
  </si>
  <si>
    <t>https://gameprogrammingpatterns.com/object-pool.html</t>
  </si>
  <si>
    <t>design undo/redo with the command pattern; an object pool for network buffers or connections</t>
  </si>
  <si>
    <t>Add RAII wrappers and your String class; list features in the README</t>
  </si>
  <si>
    <t>write behavioral story #2</t>
  </si>
  <si>
    <t>Week 5 plan</t>
  </si>
  <si>
    <t>DSA: Linked lists: reverse, merge, cycle, reorder, remove nth, add two numbers, copy with random pointer
C++: LRU cache (list + hash map); braced init, `nullptr`, `enum class` (EMC++ 7-10)
System design: SOLID, Strategy, Factory; Component / ECS design</t>
  </si>
  <si>
    <t>Reverse Linked List</t>
  </si>
  <si>
    <t>Merge Two Sorted Lists</t>
  </si>
  <si>
    <t>Linked List Cycle</t>
  </si>
  <si>
    <t>Reorder List</t>
  </si>
  <si>
    <t>Remove Nth Node From End of List</t>
  </si>
  <si>
    <t>Add Two Numbers</t>
  </si>
  <si>
    <t>Copy List with Random Pointer</t>
  </si>
  <si>
    <t>(Stretch) Merge k Sorted Lists</t>
  </si>
  <si>
    <t>(Stretch) Find the Duplicate Number</t>
  </si>
  <si>
    <t>(Stretch) Reverse Nodes in k-Group</t>
  </si>
  <si>
    <t>LRU cache (list + hash map); then solve the LeetCode LRU Cache problem and compare</t>
  </si>
  <si>
    <t>EMC++ Items 7-10 (braced init, `nullptr`, `using`, `enum class`)</t>
  </si>
  <si>
    <t>GPP Component</t>
  </si>
  <si>
    <t>SOLID principles (one page per principle, with a C++ example); Strategy and Factory Method</t>
  </si>
  <si>
    <t>Open link</t>
  </si>
  <si>
    <t>https://refactoring.guru/design-patterns/factory-method</t>
  </si>
  <si>
    <t>design a small entity/component system in C++ (ECS vs inheritance)</t>
  </si>
  <si>
    <t>Add the LRU cache; add a Google Benchmark harness</t>
  </si>
  <si>
    <t>Timed DSA: re-solve 2 problems from this week, 30 min each, no hints</t>
  </si>
  <si>
    <t>behavioral story #3</t>
  </si>
  <si>
    <t>Week 6 plan</t>
  </si>
  <si>
    <t>DSA: Binary search: search matrix, Koko, rotated array
C++: Hash map from scratch; EMC++ 11-16; how `unordered_map` works
System design: Decorator, Adapter, Facade, Service Locator; LLD: parking lot; Mock #1</t>
  </si>
  <si>
    <t>Binary Search</t>
  </si>
  <si>
    <t>Search a 2D Matrix</t>
  </si>
  <si>
    <t>Koko Eating Bananas</t>
  </si>
  <si>
    <t>Find Minimum in Rotated Sorted Array</t>
  </si>
  <si>
    <t>Search in Rotated Sorted Array</t>
  </si>
  <si>
    <t>hash map from scratch</t>
  </si>
  <si>
    <t>EMC++ Items 11-16 (deleted functions, `override`, `noexcept`, `constexpr`); how `unordered_map` works (cppreference + a CppCon hash table talk)</t>
  </si>
  <si>
    <t>GPP Service Locator; CRTP and dependency injection (CppCon "Back to Basics" talks)</t>
  </si>
  <si>
    <t>Decorator, Adapter, Facade</t>
  </si>
  <si>
    <t>https://refactoring.guru/design-patterns/adapter</t>
  </si>
  <si>
    <t>LLD: interfaces in C++, vtable vs templates trade-offs</t>
  </si>
  <si>
    <t>LLD problem 1: parking lot (requirements, class diagram, C++ skeleton, which patterns fit)</t>
  </si>
  <si>
    <t>Add the hash map; benchmark vs `std::unordered_map`; record results in the README</t>
  </si>
  <si>
    <t>Mock interview</t>
  </si>
  <si>
    <t>Mock #1 (DSA, 45 min): book it with a friend or a platform such as Pramp or interviewing.io</t>
  </si>
  <si>
    <t>Week 7 plan</t>
  </si>
  <si>
    <t>DSA: Trees: invert, depth, diameter, balanced, level order
C++: Pool allocator; alignment, `sizeof`, struct padding
System design: System design basics (Xu1 ch 1-3, estimation); OS basics</t>
  </si>
  <si>
    <t>Invert Binary Tree</t>
  </si>
  <si>
    <t>Maximum Depth of Binary Tree</t>
  </si>
  <si>
    <t>Diameter of Binary Tree</t>
  </si>
  <si>
    <t>Balanced Binary Tree</t>
  </si>
  <si>
    <t>Binary Tree Level Order Traversal</t>
  </si>
  <si>
    <t>(Stretch) Binary Tree Right Side View</t>
  </si>
  <si>
    <t>pool allocator</t>
  </si>
  <si>
    <t>alignment, `sizeof` and struct padding, `new`/`delete` (learncpp, cppreference); GPP Data Locality</t>
  </si>
  <si>
    <t>https://gameprogrammingpatterns.com/data-locality.html</t>
  </si>
  <si>
    <t>Xu1 ch 1-3 (scale from zero to millions, estimation, interview framework)</t>
  </si>
  <si>
    <t>OS basics: processes vs threads, virtual memory, context switches, scheduling</t>
  </si>
  <si>
    <t>system design basics: draw a client-server + cache + DB diagram; do the back-of-envelope math</t>
  </si>
  <si>
    <t>Add the pool allocator; benchmark vs `new`/`delete`</t>
  </si>
  <si>
    <t>behavioral story #4</t>
  </si>
  <si>
    <t>Week 8 plan</t>
  </si>
  <si>
    <t>DSA: BSTs and tree construction: LCA, validate BST, kth smallest, build from traversals, serialize
C++: Thread-safe queue; `std::thread`/`mutex`/`condition_variable`; STL complexity and iterator invalidation
System design: DDIA ch 1, caching, CAP/PACELC, SQL vs NoSQL, networking basics; LLD: inventory system; Checkpoint</t>
  </si>
  <si>
    <t>Lowest Common Ancestor of a BST</t>
  </si>
  <si>
    <t>Validate Binary Search Tree</t>
  </si>
  <si>
    <t>Kth Smallest Element in a BST</t>
  </si>
  <si>
    <t>Count Good Nodes in Binary Tree</t>
  </si>
  <si>
    <t>Construct Binary Tree from Preorder and Inorder</t>
  </si>
  <si>
    <t>(Stretch) Binary Tree Maximum Path Sum</t>
  </si>
  <si>
    <t>(Stretch) Serialize and Deserialize Binary Tree</t>
  </si>
  <si>
    <t>simple thread-safe queue</t>
  </si>
  <si>
    <t>cppreference: `std::thread`, `std::mutex`, `std::condition_variable`</t>
  </si>
  <si>
    <t>STL containers: complexity and iterator invalidation rules (cppreference); `&lt;algorithm&gt;`, `string_view`, `span`</t>
  </si>
  <si>
    <t>DDIA ch 1 (reliability, scalability); caching and databases on the ByteByteGo blog</t>
  </si>
  <si>
    <t>Networking basics: TCP vs UDP, HTTP/HTTPS, DNS, sockets (Beej's guide)</t>
  </si>
  <si>
    <t>CAP and PACELC; SQL vs NoSQL; consistency models (ByteByteGo blog, DDIA ch 5 notes)</t>
  </si>
  <si>
    <t>LLD: inventory or document-versioning system (refactoring.guru Memento for reference)</t>
  </si>
  <si>
    <t>Add the thread-safe queue; write docs/design.md (architecture and trade-offs)</t>
  </si>
  <si>
    <t>Checkpoint</t>
  </si>
  <si>
    <t>redo your 5 hardest problems; explain 3 patterns aloud with trade-offs</t>
  </si>
  <si>
    <t>Week 9 plan</t>
  </si>
  <si>
    <t>DSA: Heaps / priority queues: kth largest, k closest, last stone weight
C++: Templates and a generic container; forwarding (EMC++ 27-30, 41-42)
System design: Consistent hashing, replication, partitioning (Xu1 5, DDIA 5-6); DB basics; load balancing and sharding; Mock #2</t>
  </si>
  <si>
    <t>Kth Largest Element in a Stream</t>
  </si>
  <si>
    <t>Last Stone Weight</t>
  </si>
  <si>
    <t>K Closest Points to Origin</t>
  </si>
  <si>
    <t>Kth Largest Element in an Array</t>
  </si>
  <si>
    <t>(Stretch) Task Scheduler</t>
  </si>
  <si>
    <t>(Stretch) Find Median from Data Stream</t>
  </si>
  <si>
    <t>templates, small generic container</t>
  </si>
  <si>
    <t>cppreference templates; EMC++ Items 27-30 (reference collapsing, perfect forwarding) and 41-42 (`emplace`, pass by value)</t>
  </si>
  <si>
    <t>Xu1 ch 5 (consistent hashing); DDIA ch 5-6 (replication, partitioning)</t>
  </si>
  <si>
    <t>Database basics: ACID, indexes, B-trees, query plans (Use The Index, Luke)</t>
  </si>
  <si>
    <t>design: load balancing, sharding, replication for a web service</t>
  </si>
  <si>
    <t>Add the generic container; document its template API</t>
  </si>
  <si>
    <t>Timed DSA: 2 unseen mediums in 50 min, talk aloud</t>
  </si>
  <si>
    <t>Mock #2 (DSA + 10 min behavioral)</t>
  </si>
  <si>
    <t>Week 10 plan</t>
  </si>
  <si>
    <t>DSA: Backtracking and tries: subsets, combination sum, permutations, trie
C++: Hand-written vtable vs virtual functions (benchmark); object model, slicing, RVO
System design: Transactions and consistency (DDIA 7, 9); idempotency; leaderboard design</t>
  </si>
  <si>
    <t>Implement Trie</t>
  </si>
  <si>
    <t>Subsets</t>
  </si>
  <si>
    <t>Combination Sum</t>
  </si>
  <si>
    <t>Permutations</t>
  </si>
  <si>
    <t>Subsets II</t>
  </si>
  <si>
    <t>Combination Sum II</t>
  </si>
  <si>
    <t>(Stretch) Word Search</t>
  </si>
  <si>
    <t>(Stretch) Design Add and Search Words</t>
  </si>
  <si>
    <t>(Stretch) Palindrome Partitioning</t>
  </si>
  <si>
    <t>(Stretch) Letter Combinations of a Phone Number</t>
  </si>
  <si>
    <t>hand-written vtable dispatch (function pointer table) vs virtual functions, with a benchmark</t>
  </si>
  <si>
    <t>CppCon talk on virtual functions and vtable layout; cppreference virtual functions</t>
  </si>
  <si>
    <t>Object model: virtual destructors, object slicing, const-correctness, copy elision/RVO (learncpp, cppreference)</t>
  </si>
  <si>
    <t>DDIA ch 7 and 9 (transactions, consistency); idempotency and retries on the ByteByteGo blog</t>
  </si>
  <si>
    <t>design a leaderboard (Xu2: Real-time gaming leaderboard)</t>
  </si>
  <si>
    <t>Add the vtable-vs-virtual benchmark; record results</t>
  </si>
  <si>
    <t>Week 11 plan</t>
  </si>
  <si>
    <t>DSA: Graphs: islands, clone graph, rotting oranges (BFS/DFS on grids)
C++: Producer/consumer with threads, mutex, condition variable (EMC++ 35-40)
System design: Rate limiter and URL shortener (Xu1 4, 8); message queues and pub/sub; LLD: rate limiter</t>
  </si>
  <si>
    <t>Number of Islands</t>
  </si>
  <si>
    <t>Max Area of Island</t>
  </si>
  <si>
    <t>Clone Graph</t>
  </si>
  <si>
    <t>Rotting Oranges</t>
  </si>
  <si>
    <t>(Stretch) Pacific Atlantic Water Flow</t>
  </si>
  <si>
    <t>(Stretch) Surrounded Regions</t>
  </si>
  <si>
    <t>threads + mutex + condition variable (producer/consumer)</t>
  </si>
  <si>
    <t>EMC++ Items 35-40 (concurrency API)</t>
  </si>
  <si>
    <t>Xu1 ch 4 (rate limiter), ch 8 (URL shortener)</t>
  </si>
  <si>
    <t>Message queues and pub/sub: Kafka basics, at-least-once vs exactly-once (Kafka intro docs, ByteByteGo blog)</t>
  </si>
  <si>
    <t>(Stretch) DDIA ch 2-4 (data models, storage engines, encoding)</t>
  </si>
  <si>
    <t>LLD: rate limiter with class diagram and tests</t>
  </si>
  <si>
    <t>Add a producer/consumer demo app using your queue</t>
  </si>
  <si>
    <t>Week 12 plan</t>
  </si>
  <si>
    <t>DSA: Graphs: topological sort (course schedule), Union-Find, redundant connection
C++: Thread pool (CIA ch 9)
System design: Key-value store (Xu1 6); API design, CDN, Bloom filters; Mock #3</t>
  </si>
  <si>
    <t>Course Schedule</t>
  </si>
  <si>
    <t>Course Schedule II</t>
  </si>
  <si>
    <t>Number of Provinces</t>
  </si>
  <si>
    <t>Redundant Connection</t>
  </si>
  <si>
    <t>Implement Union-Find (path compression + union by rank) from scratch; solve Redundant Connection with it</t>
  </si>
  <si>
    <t>(Stretch) Accounts Merge</t>
  </si>
  <si>
    <t>thread pool</t>
  </si>
  <si>
    <t>CIA ch 9 (thread pools)</t>
  </si>
  <si>
    <t>Xu1 ch 6 (key-value store)</t>
  </si>
  <si>
    <t>API design: REST vs gRPC, pagination, versioning; CDN basics; Bloom filters (ByteByteGo blog)</t>
  </si>
  <si>
    <t>system design: URL shortener or key-value store, 45 min, talk aloud</t>
  </si>
  <si>
    <t>Add the thread pool with tests; run ThreadSanitizer in CI</t>
  </si>
  <si>
    <t>Mock #3 (system design, 45 min)</t>
  </si>
  <si>
    <t>Week 13 plan</t>
  </si>
  <si>
    <t>DSA: Advanced graphs: Dijkstra, Bellman-Ford style (cheapest flights), MST
C++: Atomics, spinlock, memory ordering
System design: Unique ID generator and notification system (Xu1 7, 10)</t>
  </si>
  <si>
    <t>Network Delay Time</t>
  </si>
  <si>
    <t>Cheapest Flights Within K Stops</t>
  </si>
  <si>
    <t>Path With Minimum Effort</t>
  </si>
  <si>
    <t>Swim in Rising Water</t>
  </si>
  <si>
    <t>(Stretch) Min Cost to Connect All Points</t>
  </si>
  <si>
    <t>(Stretch) Alien Dictionary (premium on LeetCode; use the free LintCode or NeetCode version)</t>
  </si>
  <si>
    <t>atomics, spinlock, memory ordering experiments</t>
  </si>
  <si>
    <t>CIA ch 5 (memory model, atomics); cppreference `memory_order`; blog posts by Jeff Preshing</t>
  </si>
  <si>
    <t>cppreference</t>
  </si>
  <si>
    <t>https://preshing.com</t>
  </si>
  <si>
    <t>Xu1 ch 7 (unique ID generator) and ch 10 (notification system)</t>
  </si>
  <si>
    <t>(Stretch) DDIA ch 8 (the trouble with distributed systems)</t>
  </si>
  <si>
    <t>design: notification system or unique ID generator, 45 min, talk aloud</t>
  </si>
  <si>
    <t>Add atomics/spinlock experiments; write up the memory-ordering notes</t>
  </si>
  <si>
    <t>Week 14 plan</t>
  </si>
  <si>
    <t>DSA: 1-D dynamic programming: stairs, house robber, coin change, LIS
C++: AoS vs SoA benchmark; sanitizers, gdb; undefined behavior
System design: Chat system and WebSockets (Xu1 12)</t>
  </si>
  <si>
    <t>Climbing Stairs</t>
  </si>
  <si>
    <t>House Robber</t>
  </si>
  <si>
    <t>Coin Change</t>
  </si>
  <si>
    <t>Longest Increasing Subsequence</t>
  </si>
  <si>
    <t>(Stretch) House Robber II</t>
  </si>
  <si>
    <t>(Stretch) Word Break</t>
  </si>
  <si>
    <t>(Stretch) Decode Ways</t>
  </si>
  <si>
    <t>(Stretch) Partition Equal Subset Sum</t>
  </si>
  <si>
    <t>benchmark AoS vs SoA</t>
  </si>
  <si>
    <t>Run all your builds under AddressSanitizer, UBSan and ThreadSanitizer; fix findings; gdb basics (breakpoints, backtrace, watch)</t>
  </si>
  <si>
    <t>GPP Data Locality; CppCon 2014 "Data-Oriented Design" (Mike Acton)</t>
  </si>
  <si>
    <t>Undefined behavior: dangling references, lifetime, signed overflow, out-of-bounds (cppreference, John Regehr's UB guide)</t>
  </si>
  <si>
    <t>Xu1 ch 12 (chat system); WebSockets vs long polling vs SSE (ByteByteGo blog)</t>
  </si>
  <si>
    <t>design: chat system (1:1 and group), 45 min, talk aloud</t>
  </si>
  <si>
    <t>Add the AoS vs SoA benchmark; make CI sanitizer-clean</t>
  </si>
  <si>
    <t>Week 15 plan</t>
  </si>
  <si>
    <t>DSA: 2-D dynamic programming: unique paths, LCS, edit distance, coin change II
C++: Lambdas, `constexpr`, `variant`/`optional`; variadic templates, type erasure, concepts
System design: News feed (Xu1 11); LLD: vending machine / elevator; Mock #4</t>
  </si>
  <si>
    <t>Unique Paths</t>
  </si>
  <si>
    <t>Longest Common Subsequence</t>
  </si>
  <si>
    <t>Edit Distance</t>
  </si>
  <si>
    <t>Coin Change II</t>
  </si>
  <si>
    <t>(Stretch) Target Sum</t>
  </si>
  <si>
    <t>(Stretch) Best Time to Buy and Sell Stock with Cooldown</t>
  </si>
  <si>
    <t>lambdas, `constexpr`, `variant`/`optional` mini project</t>
  </si>
  <si>
    <t>EMC++ Items 31-34 (lambdas); cppreference `std::variant`, `std::optional`</t>
  </si>
  <si>
    <t>Variadic templates, `std::function` and type erasure, C++20 concepts (cppreference, learncpp)</t>
  </si>
  <si>
    <t>Xu1 ch 11 (news feed system); fan-out on write vs read (ByteByteGo blog)</t>
  </si>
  <si>
    <t>design: news feed, 45 min, talk aloud</t>
  </si>
  <si>
    <t>LLD problem 2: vending machine or elevator system (class diagram, state machine, tests)</t>
  </si>
  <si>
    <t>Add the `variant`/`optional` mini project; polish the API docs</t>
  </si>
  <si>
    <t>Mock #4 (LLD, 45 min)</t>
  </si>
  <si>
    <t>resume refresh, update LinkedIn and GitHub profile</t>
  </si>
  <si>
    <t>Week 16 plan</t>
  </si>
  <si>
    <t>DSA: Greedy and intervals: max subarray, jump game, merge intervals, meeting rooms
C++: SPSC ring buffer; lock-free basics
System design: Search autocomplete and web crawler (Xu1 13, 9); Raft / consensus basics</t>
  </si>
  <si>
    <t>Maximum Subarray</t>
  </si>
  <si>
    <t>Jump Game</t>
  </si>
  <si>
    <t>Merge Intervals</t>
  </si>
  <si>
    <t>Non-overlapping Intervals</t>
  </si>
  <si>
    <t>Meeting Rooms I and II (premium on LeetCode; use the free LintCode or NeetCode versions)</t>
  </si>
  <si>
    <t>(Stretch) Jump Game II</t>
  </si>
  <si>
    <t>(Stretch) Gas Station</t>
  </si>
  <si>
    <t>(Stretch) Insert Interval</t>
  </si>
  <si>
    <t>(Stretch) Partition Labels</t>
  </si>
  <si>
    <t>(Stretch) Minimum Number of Arrows to Burst Balloons</t>
  </si>
  <si>
    <t>SPSC ring buffer (read the ring buffer article first)</t>
  </si>
  <si>
    <t>https://rigtorp.se</t>
  </si>
  <si>
    <t>review atomics notes; CIA ch 7 (lock-free basics)</t>
  </si>
  <si>
    <t>Xu1 ch 13 (search autocomplete) and ch 9 (web crawler)</t>
  </si>
  <si>
    <t>Consensus basics: Raft (visualization and paper summary)</t>
  </si>
  <si>
    <t>design: search autocomplete or web crawler, 45 min, talk aloud</t>
  </si>
  <si>
    <t>Add the SPSC ring buffer; tag release v1.0</t>
  </si>
  <si>
    <t>message recruiters, apply to 2-3 low-stakes companies first; set up an application tracker (company, stage, date, contact) and ask for 2-3 referrals</t>
  </si>
  <si>
    <t>Week 17 plan</t>
  </si>
  <si>
    <t>DSA: Graph shortest paths on grids: word ladder, 01 matrix, sliding puzzle
C++: A* implementation; profiling and benchmarking
System design: YouTube or Google Drive (Xu1 14/15); LLD: library / ATM; review weakest topic</t>
  </si>
  <si>
    <t>Shortest Path in Binary Matrix</t>
  </si>
  <si>
    <t>Word Ladder</t>
  </si>
  <si>
    <t>01 Matrix</t>
  </si>
  <si>
    <t>Sliding Puzzle</t>
  </si>
  <si>
    <t>custom allocator review + A* implementation (read Red Blob Games: Introduction to A* first)</t>
  </si>
  <si>
    <t>Profiling basics: perf / Visual Studio profiler; add a Google Benchmark to your A*</t>
  </si>
  <si>
    <t>review your weakest design topic (re-read notes, redraw the diagram from memory)</t>
  </si>
  <si>
    <t>(Stretch) DDIA ch 10-11 (batch and stream processing)</t>
  </si>
  <si>
    <t>LLD problem 3: library management or ATM system (class diagram, patterns, tests)</t>
  </si>
  <si>
    <t>System design: Xu1 ch 14 (YouTube) or ch 15 (Google Drive), 45 min, talk aloud</t>
  </si>
  <si>
    <t>Final polish: README (build steps, benchmarks, design notes), pin the repo, add it to your resume and LinkedIn</t>
  </si>
  <si>
    <t>Timed DSA: 1 hard + 1 medium in 60 min, talk aloud</t>
  </si>
  <si>
    <t>Week 18 plan</t>
  </si>
  <si>
    <t>DSA: Design-style DSA: insert/delete/getRandom, range sum queries, skyline
C++: Quadtree; spatial partitioning
System design: LLD: chess / tic-tac-toe; a Xu2 chapter; design pitfalls; Mock #5</t>
  </si>
  <si>
    <t>Insert Delete GetRandom O(1)</t>
  </si>
  <si>
    <t>Range Sum Query 2D</t>
  </si>
  <si>
    <t>Range Sum Query Mutable</t>
  </si>
  <si>
    <t>The Skyline Problem</t>
  </si>
  <si>
    <t>simple quadtree</t>
  </si>
  <si>
    <t>GPP Spatial Partition</t>
  </si>
  <si>
    <t>common design pitfalls (requirements first, scale estimates, trade-offs)</t>
  </si>
  <si>
    <t>LLD problem 4: chess or tic-tac-toe (extensible rules, class diagram, tests)</t>
  </si>
  <si>
    <t>System design: pick a Xu2 chapter you haven't done, 45 min, talk aloud</t>
  </si>
  <si>
    <t>Mock #5 (full loop: 45 min DSA + 45 min system design) with a friend or a platform</t>
  </si>
  <si>
    <t>Week 19 plan</t>
  </si>
  <si>
    <t>DSA: Bit manipulation and math / matrix: single number, counting bits, rotate image, spiral matrix, pow
C++: Internals Q&amp;A drill; C++17/20 tour; CMake, tests, CI
System design: Timed system design + LLD; observability and security basics</t>
  </si>
  <si>
    <t>Single Number</t>
  </si>
  <si>
    <t>Number of 1 Bits</t>
  </si>
  <si>
    <t>Counting Bits</t>
  </si>
  <si>
    <t>Missing Number</t>
  </si>
  <si>
    <t>Rotate Image</t>
  </si>
  <si>
    <t>Spiral Matrix</t>
  </si>
  <si>
    <t>Set Matrix Zeroes</t>
  </si>
  <si>
    <t>Pow(x, n)</t>
  </si>
  <si>
    <t>(Extra practice) Design Twitter</t>
  </si>
  <si>
    <t>(Extra practice) Longest Consecutive Sequence</t>
  </si>
  <si>
    <t>(Stretch) Reverse Bits</t>
  </si>
  <si>
    <t>(Stretch) Sum of Two Integers</t>
  </si>
  <si>
    <t>(Stretch) Happy Number</t>
  </si>
  <si>
    <t>(Stretch) Multiply Strings</t>
  </si>
  <si>
    <t>internals Q&amp;A drill: vector invalidation, rule of 5, ODR, `std::move`, virtual destructors, slicing</t>
  </si>
  <si>
    <t>C++ Core Guidelines; CppCon "Back to Basics" talks on your weak areas</t>
  </si>
  <si>
    <t>C++17/20 tour: structured bindings, `optional`/`variant`, ranges, `std::format`, coroutines overview; tidy your CMake, tests and CI</t>
  </si>
  <si>
    <t>Observability (logs, metrics, traces) and security basics (authN vs authZ, OAuth/JWT overview)</t>
  </si>
  <si>
    <t>system design + LLD problem (new ones, timed: 45 min each)</t>
  </si>
  <si>
    <t>Week 20 plan</t>
  </si>
  <si>
    <t>DSA: Weak-pattern review: redo Mistake Sheet problems; extra practice (LFU, N-Queens, median of two arrays)
C++: Re-implement your weakest build; concurrency Q&amp;A drill
System design: Timed system design + LLD; self-review against your design checklist</t>
  </si>
  <si>
    <t>Redo 5 problems from your Mistake Sheet in your weakest pattern</t>
  </si>
  <si>
    <t>Pick your 3 weakest patterns; solve 2 new problems in each</t>
  </si>
  <si>
    <t>(Extra practice) LFU Cache</t>
  </si>
  <si>
    <t>(Extra practice) Median of Two Sorted Arrays</t>
  </si>
  <si>
    <t>(Extra practice) N-Queens</t>
  </si>
  <si>
    <t>(Extra practice) Reconstruct Itinerary</t>
  </si>
  <si>
    <t>(Extra practice) Time Based Key-Value Store</t>
  </si>
  <si>
    <t>(Extra practice) Word Search II</t>
  </si>
  <si>
    <t>re-implement your weakest build; concurrency Q&amp;A drill</t>
  </si>
  <si>
    <t>review notes only</t>
  </si>
  <si>
    <t>system design + LLD problem (new ones, timed: 45 min each); then self-review against your design checklist</t>
  </si>
  <si>
    <t>Week 21 plan</t>
  </si>
  <si>
    <t>DSA: Timed mixed DSA sets; DSA mock
C++: No new topics (notes review)
System design: System design mock; OS, networking and database rapid-fire</t>
  </si>
  <si>
    <t>Mock: DSA (45 min)</t>
  </si>
  <si>
    <t>Mock: system design (45 min)</t>
  </si>
  <si>
    <t>write and practice a 2-minute 'tell me about yourself'</t>
  </si>
  <si>
    <t>Interview prep</t>
  </si>
  <si>
    <t>Timed mixed DSA sets; fix the gaps listed in your Mistake Sheet</t>
  </si>
  <si>
    <t>Rapid-fire review: OS, networking and database basics</t>
  </si>
  <si>
    <t>Week 22 plan</t>
  </si>
  <si>
    <t>DSA: DSA mock; fix gaps from the Mistake Sheet
C++: No new topics (notes review)
System design: LLD mock; behavioral stories and project walkthrough</t>
  </si>
  <si>
    <t>Mock: LLD (45 min)</t>
  </si>
  <si>
    <t>finalize 5-6 behavioral stories (leadership, failure, technical win, conflict, impact)</t>
  </si>
  <si>
    <t>prepare a 5-minute walkthrough of your portfolio project and your best work project; list 5 questions to ask the interviewer</t>
  </si>
  <si>
    <t>Week 23 plan</t>
  </si>
  <si>
    <t>DSA: DSA mock; timed practice
C++: C++ rapid-fire: rule of 5, move semantics, smart pointers, concurrency, templates
System design: System design mock; architecture discussion of a system you built</t>
  </si>
  <si>
    <t>Mock: behavioral and project deep-dive (30 min)</t>
  </si>
  <si>
    <t>Architecture discussion: explain a system you built, its trade-offs and what you would change</t>
  </si>
  <si>
    <t>C++ rapid-fire review: rule of 5, move semantics, smart pointers, concurrency, templates</t>
  </si>
  <si>
    <t>Week 24 plan</t>
  </si>
  <si>
    <t>DSA: Light daily practice: 1 problem a day; full-loop mock
C++: No new topics (notes review)
System design: Full-loop mock; company-specific prep</t>
  </si>
  <si>
    <t>Mock: full loop (DSA + design + behavioral)</t>
  </si>
  <si>
    <t>polish resume and stories</t>
  </si>
  <si>
    <t>company-specific prep: product, tech stack and interview format for each target company</t>
  </si>
  <si>
    <t>Light daily practice: 1 problem a day</t>
  </si>
  <si>
    <t>Week 25 plan</t>
  </si>
  <si>
    <t>DSA: Daily: 1 problem + Mistake Sheet review
C++: No new topics
System design: Interviews; keep notes on design topics that came up</t>
  </si>
  <si>
    <t>Interviews (log each one in your application tracker)</t>
  </si>
  <si>
    <t>Daily: 1 problem + Mistake Sheet review</t>
  </si>
  <si>
    <t>Week 26 plan</t>
  </si>
  <si>
    <t>DSA: Daily: 1 problem + Mistake Sheet review
C++: No new topics
System design: Interviews; negotiation prep</t>
  </si>
  <si>
    <t>Negotiation prep: compare offers, don't accept on the spot</t>
  </si>
  <si>
    <t>26-Week Interview Prep: Progress Dashboard</t>
  </si>
  <si>
    <t>Overall progress</t>
  </si>
  <si>
    <t>tasks done / total / %</t>
  </si>
  <si>
    <t>How to use</t>
  </si>
  <si>
    <t>1. Go to the Plan tab. Column A has a dropdown: Not started / In progress / Done.</t>
  </si>
  <si>
    <t>By month</t>
  </si>
  <si>
    <t>2. Rows turn green when Done and yellow when In progress.</t>
  </si>
  <si>
    <t>Done</t>
  </si>
  <si>
    <t>In progress</t>
  </si>
  <si>
    <t>Total</t>
  </si>
  <si>
    <t>% done</t>
  </si>
  <si>
    <t>3. Click a "LeetCode" / "GPP" / "Open link" cell to open the resource.</t>
  </si>
  <si>
    <t>4. This dashboard updates automatically. Do not type in the tables here.</t>
  </si>
  <si>
    <t>5. Use the filter arrows on the Plan tab to see one week or one category.</t>
  </si>
  <si>
    <t>6. Log mistakes in the Mistake Sheet tab and review it every Sunday.</t>
  </si>
  <si>
    <t>Weekly rhythm</t>
  </si>
  <si>
    <t>Mon-Thu: DSA, 2 hrs/day (4-6 core problems/week; Stretch rows are optional)</t>
  </si>
  <si>
    <t>Weekdays: 0.5-1 hr reading (C++ Mon/Tue, design Wed/Thu, recall Fri)</t>
  </si>
  <si>
    <t>By category</t>
  </si>
  <si>
    <t>Fri: C++ build with tests (2 hrs)</t>
  </si>
  <si>
    <t>Sat (5 hrs): system design / LLD practice + 1 hr portfolio (to Week 17)</t>
  </si>
  <si>
    <t>Sun (5 hrs): Mistake Sheet review, timed DSA (from Week 5), mock (every 3rd week from Week 6), career task</t>
  </si>
  <si>
    <t>Reading key</t>
  </si>
  <si>
    <t>EMC++ = Effective Modern C++ (Meyers); CIA = C++ Concurrency in Action</t>
  </si>
  <si>
    <t>GPP = Game Programming Patterns (gameprogrammingpatterns.com)</t>
  </si>
  <si>
    <t>Xu1/Xu2 = System Design Interview Vol 1/2; DDIA = Designing Data-Intensive Applications</t>
  </si>
  <si>
    <t>Stretch/Extra practice rows are optional.</t>
  </si>
  <si>
    <t>By week</t>
  </si>
  <si>
    <t>Date</t>
  </si>
  <si>
    <t>Problem</t>
  </si>
  <si>
    <t>Pattern / Topic</t>
  </si>
  <si>
    <t>What I missed</t>
  </si>
  <si>
    <t>Re-solved on</t>
  </si>
  <si>
    <t>Notes</t>
  </si>
  <si>
    <t>Example: 2026-10-05</t>
  </si>
  <si>
    <t>Two pointers</t>
  </si>
  <si>
    <t>Forgot to move the pointer with the smaller height</t>
  </si>
  <si>
    <t>Re-solve next Sunday</t>
  </si>
  <si>
    <t>VS Code snippet</t>
  </si>
  <si>
    <t>1. Open the Command Palette</t>
  </si>
  <si>
    <t>2. Run: Preferences: Configure User Snippets</t>
  </si>
  <si>
    <t>3. Choose C++ or create a global snippet file</t>
  </si>
  <si>
    <t>HOW TO</t>
  </si>
  <si>
    <t>bhvcZ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</si>
</sst>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i/>
      <sz val="9"/>
      <color rgb="FF7F7F7F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i/>
      <sz val="10"/>
      <color rgb="FF7F7F7F"/>
      <name val="Arial"/>
      <charset val="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8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9" fontId="3" fillId="0" borderId="0" xfId="0" applyNumberFormat="1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/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/>
    </xf>
    <xf numFmtId="0" fontId="12" fillId="3" borderId="1" xfId="0" applyFont="1" applyFill="1" applyBorder="1" applyAlignment="1">
      <alignment vertical="top"/>
    </xf>
    <xf numFmtId="0" fontId="12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left" vertical="top" wrapText="1"/>
    </xf>
    <xf numFmtId="0" fontId="0" fillId="0" borderId="2" xfId="0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2CC"/>
        </patternFill>
      </fill>
    </dxf>
    <dxf>
      <font>
        <strike/>
        <color rgb="FF6B6B6B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ameprogrammingpatterns.com/data-locality.html" TargetMode="External"/><Relationship Id="rId21" Type="http://schemas.openxmlformats.org/officeDocument/2006/relationships/hyperlink" Target="https://gameprogrammingpatterns.com/observer.html" TargetMode="External"/><Relationship Id="rId42" Type="http://schemas.openxmlformats.org/officeDocument/2006/relationships/hyperlink" Target="https://gameprogrammingpatterns.com/component.html" TargetMode="External"/><Relationship Id="rId63" Type="http://schemas.openxmlformats.org/officeDocument/2006/relationships/hyperlink" Target="https://leetcode.com/problems/lowest-common-ancestor-of-a-binary-search-tree/" TargetMode="External"/><Relationship Id="rId84" Type="http://schemas.openxmlformats.org/officeDocument/2006/relationships/hyperlink" Target="https://leetcode.com/problems/subsets-ii/" TargetMode="External"/><Relationship Id="rId138" Type="http://schemas.openxmlformats.org/officeDocument/2006/relationships/hyperlink" Target="https://leetcode.com/problems/01-matrix/" TargetMode="External"/><Relationship Id="rId159" Type="http://schemas.openxmlformats.org/officeDocument/2006/relationships/hyperlink" Target="https://leetcode.com/problems/multiply-strings/" TargetMode="External"/><Relationship Id="rId107" Type="http://schemas.openxmlformats.org/officeDocument/2006/relationships/hyperlink" Target="https://en.cppreference.com/w/cpp/atomic/memory_order" TargetMode="External"/><Relationship Id="rId11" Type="http://schemas.openxmlformats.org/officeDocument/2006/relationships/hyperlink" Target="https://leetcode.com/problems/3sum/" TargetMode="External"/><Relationship Id="rId32" Type="http://schemas.openxmlformats.org/officeDocument/2006/relationships/hyperlink" Target="https://leetcode.com/problems/merge-two-sorted-lists/" TargetMode="External"/><Relationship Id="rId53" Type="http://schemas.openxmlformats.org/officeDocument/2006/relationships/hyperlink" Target="https://www.pramp.com/" TargetMode="External"/><Relationship Id="rId74" Type="http://schemas.openxmlformats.org/officeDocument/2006/relationships/hyperlink" Target="https://leetcode.com/problems/last-stone-weight/" TargetMode="External"/><Relationship Id="rId128" Type="http://schemas.openxmlformats.org/officeDocument/2006/relationships/hyperlink" Target="https://leetcode.com/problems/jump-game-ii/" TargetMode="External"/><Relationship Id="rId149" Type="http://schemas.openxmlformats.org/officeDocument/2006/relationships/hyperlink" Target="https://leetcode.com/problems/missing-number/" TargetMode="External"/><Relationship Id="rId5" Type="http://schemas.openxmlformats.org/officeDocument/2006/relationships/hyperlink" Target="https://leetcode.com/problems/top-k-frequent-elements/" TargetMode="External"/><Relationship Id="rId95" Type="http://schemas.openxmlformats.org/officeDocument/2006/relationships/hyperlink" Target="https://leetcode.com/problems/surrounded-regions/" TargetMode="External"/><Relationship Id="rId160" Type="http://schemas.openxmlformats.org/officeDocument/2006/relationships/hyperlink" Target="https://isocpp.github.io/CppCoreGuidelines/CppCoreGuidelines" TargetMode="External"/><Relationship Id="rId22" Type="http://schemas.openxmlformats.org/officeDocument/2006/relationships/hyperlink" Target="https://gameprogrammingpatterns.com/event-queue.html" TargetMode="External"/><Relationship Id="rId43" Type="http://schemas.openxmlformats.org/officeDocument/2006/relationships/hyperlink" Target="https://refactoring.guru/design-patterns/strategy" TargetMode="External"/><Relationship Id="rId64" Type="http://schemas.openxmlformats.org/officeDocument/2006/relationships/hyperlink" Target="https://leetcode.com/problems/validate-binary-search-tree/" TargetMode="External"/><Relationship Id="rId118" Type="http://schemas.openxmlformats.org/officeDocument/2006/relationships/hyperlink" Target="https://leetcode.com/problems/unique-paths/" TargetMode="External"/><Relationship Id="rId139" Type="http://schemas.openxmlformats.org/officeDocument/2006/relationships/hyperlink" Target="https://leetcode.com/problems/sliding-puzzle/" TargetMode="External"/><Relationship Id="rId85" Type="http://schemas.openxmlformats.org/officeDocument/2006/relationships/hyperlink" Target="https://leetcode.com/problems/combination-sum-ii/" TargetMode="External"/><Relationship Id="rId150" Type="http://schemas.openxmlformats.org/officeDocument/2006/relationships/hyperlink" Target="https://leetcode.com/problems/rotate-image/" TargetMode="External"/><Relationship Id="rId12" Type="http://schemas.openxmlformats.org/officeDocument/2006/relationships/hyperlink" Target="https://leetcode.com/problems/container-with-most-water/" TargetMode="External"/><Relationship Id="rId17" Type="http://schemas.openxmlformats.org/officeDocument/2006/relationships/hyperlink" Target="https://leetcode.com/problems/longest-substring-without-repeating-characters/" TargetMode="External"/><Relationship Id="rId33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leetcode.com/problems/merge-k-sorted-lists/" TargetMode="External"/><Relationship Id="rId59" Type="http://schemas.openxmlformats.org/officeDocument/2006/relationships/hyperlink" Target="https://leetcode.com/problems/binary-tree-right-side-view/" TargetMode="External"/><Relationship Id="rId103" Type="http://schemas.openxmlformats.org/officeDocument/2006/relationships/hyperlink" Target="https://leetcode.com/problems/cheapest-flights-within-k-stops/" TargetMode="External"/><Relationship Id="rId108" Type="http://schemas.openxmlformats.org/officeDocument/2006/relationships/hyperlink" Target="https://preshing.com/" TargetMode="External"/><Relationship Id="rId124" Type="http://schemas.openxmlformats.org/officeDocument/2006/relationships/hyperlink" Target="https://leetcode.com/problems/maximum-subarray/" TargetMode="External"/><Relationship Id="rId129" Type="http://schemas.openxmlformats.org/officeDocument/2006/relationships/hyperlink" Target="https://leetcode.com/problems/gas-station/" TargetMode="External"/><Relationship Id="rId54" Type="http://schemas.openxmlformats.org/officeDocument/2006/relationships/hyperlink" Target="https://leetcode.com/problems/invert-binary-tree/" TargetMode="External"/><Relationship Id="rId70" Type="http://schemas.openxmlformats.org/officeDocument/2006/relationships/hyperlink" Target="https://blog.bytebytego.com/" TargetMode="External"/><Relationship Id="rId75" Type="http://schemas.openxmlformats.org/officeDocument/2006/relationships/hyperlink" Target="https://leetcode.com/problems/k-closest-points-to-origin/" TargetMode="External"/><Relationship Id="rId91" Type="http://schemas.openxmlformats.org/officeDocument/2006/relationships/hyperlink" Target="https://leetcode.com/problems/max-area-of-island/" TargetMode="External"/><Relationship Id="rId96" Type="http://schemas.openxmlformats.org/officeDocument/2006/relationships/hyperlink" Target="https://kafka.apache.org/intro" TargetMode="External"/><Relationship Id="rId140" Type="http://schemas.openxmlformats.org/officeDocument/2006/relationships/hyperlink" Target="https://www.redblobgames.com/pathfinding/a-star/introduction.html" TargetMode="External"/><Relationship Id="rId145" Type="http://schemas.openxmlformats.org/officeDocument/2006/relationships/hyperlink" Target="https://gameprogrammingpatterns.com/spatial-partition.html" TargetMode="External"/><Relationship Id="rId161" Type="http://schemas.openxmlformats.org/officeDocument/2006/relationships/hyperlink" Target="https://leetcode.com/problems/lfu-cache/" TargetMode="External"/><Relationship Id="rId166" Type="http://schemas.openxmlformats.org/officeDocument/2006/relationships/hyperlink" Target="https://leetcode.com/problems/word-search-ii/" TargetMode="External"/><Relationship Id="rId1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leetcode.com/problems/product-of-array-except-self/" TargetMode="External"/><Relationship Id="rId23" Type="http://schemas.openxmlformats.org/officeDocument/2006/relationships/hyperlink" Target="https://leetcode.com/problems/valid-parentheses/" TargetMode="External"/><Relationship Id="rId28" Type="http://schemas.openxmlformats.org/officeDocument/2006/relationships/hyperlink" Target="https://leetcode.com/problems/largest-rectangle-in-histogram/" TargetMode="External"/><Relationship Id="rId49" Type="http://schemas.openxmlformats.org/officeDocument/2006/relationships/hyperlink" Target="https://leetcode.com/problems/search-in-rotated-sorted-array/" TargetMode="External"/><Relationship Id="rId114" Type="http://schemas.openxmlformats.org/officeDocument/2006/relationships/hyperlink" Target="https://leetcode.com/problems/word-break/" TargetMode="External"/><Relationship Id="rId119" Type="http://schemas.openxmlformats.org/officeDocument/2006/relationships/hyperlink" Target="https://leetcode.com/problems/longest-common-subsequence/" TargetMode="External"/><Relationship Id="rId44" Type="http://schemas.openxmlformats.org/officeDocument/2006/relationships/hyperlink" Target="https://refactoring.guru/design-patterns/factory-method" TargetMode="External"/><Relationship Id="rId60" Type="http://schemas.openxmlformats.org/officeDocument/2006/relationships/hyperlink" Target="https://www.learncpp.com/" TargetMode="External"/><Relationship Id="rId65" Type="http://schemas.openxmlformats.org/officeDocument/2006/relationships/hyperlink" Target="https://leetcode.com/problems/kth-smallest-element-in-a-bst/" TargetMode="External"/><Relationship Id="rId81" Type="http://schemas.openxmlformats.org/officeDocument/2006/relationships/hyperlink" Target="https://leetcode.com/problems/subsets/" TargetMode="External"/><Relationship Id="rId86" Type="http://schemas.openxmlformats.org/officeDocument/2006/relationships/hyperlink" Target="https://leetcode.com/problems/word-search/" TargetMode="External"/><Relationship Id="rId130" Type="http://schemas.openxmlformats.org/officeDocument/2006/relationships/hyperlink" Target="https://leetcode.com/problems/insert-interval/" TargetMode="External"/><Relationship Id="rId135" Type="http://schemas.openxmlformats.org/officeDocument/2006/relationships/hyperlink" Target="https://raft.github.io/" TargetMode="External"/><Relationship Id="rId151" Type="http://schemas.openxmlformats.org/officeDocument/2006/relationships/hyperlink" Target="https://leetcode.com/problems/spiral-matrix/" TargetMode="External"/><Relationship Id="rId156" Type="http://schemas.openxmlformats.org/officeDocument/2006/relationships/hyperlink" Target="https://leetcode.com/problems/reverse-bits/" TargetMode="External"/><Relationship Id="rId13" Type="http://schemas.openxmlformats.org/officeDocument/2006/relationships/hyperlink" Target="https://leetcode.com/problems/trapping-rain-water/" TargetMode="External"/><Relationship Id="rId18" Type="http://schemas.openxmlformats.org/officeDocument/2006/relationships/hyperlink" Target="https://leetcode.com/problems/longest-repeating-character-replacement/" TargetMode="External"/><Relationship Id="rId39" Type="http://schemas.openxmlformats.org/officeDocument/2006/relationships/hyperlink" Target="https://leetcode.com/problems/find-the-duplicate-number/" TargetMode="External"/><Relationship Id="rId109" Type="http://schemas.openxmlformats.org/officeDocument/2006/relationships/hyperlink" Target="https://leetcode.com/problems/climbing-stairs/" TargetMode="External"/><Relationship Id="rId34" Type="http://schemas.openxmlformats.org/officeDocument/2006/relationships/hyperlink" Target="https://leetcode.com/problems/reorder-list/" TargetMode="External"/><Relationship Id="rId50" Type="http://schemas.openxmlformats.org/officeDocument/2006/relationships/hyperlink" Target="https://gameprogrammingpatterns.com/service-locator.html" TargetMode="External"/><Relationship Id="rId55" Type="http://schemas.openxmlformats.org/officeDocument/2006/relationships/hyperlink" Target="https://leetcode.com/problems/maximum-depth-of-binary-tree/" TargetMode="External"/><Relationship Id="rId76" Type="http://schemas.openxmlformats.org/officeDocument/2006/relationships/hyperlink" Target="https://leetcode.com/problems/kth-largest-element-in-an-array/" TargetMode="External"/><Relationship Id="rId97" Type="http://schemas.openxmlformats.org/officeDocument/2006/relationships/hyperlink" Target="https://leetcode.com/problems/course-schedule/" TargetMode="External"/><Relationship Id="rId104" Type="http://schemas.openxmlformats.org/officeDocument/2006/relationships/hyperlink" Target="https://leetcode.com/problems/path-with-minimum-effort/" TargetMode="External"/><Relationship Id="rId120" Type="http://schemas.openxmlformats.org/officeDocument/2006/relationships/hyperlink" Target="https://leetcode.com/problems/edit-distance/" TargetMode="External"/><Relationship Id="rId125" Type="http://schemas.openxmlformats.org/officeDocument/2006/relationships/hyperlink" Target="https://leetcode.com/problems/jump-game/" TargetMode="External"/><Relationship Id="rId141" Type="http://schemas.openxmlformats.org/officeDocument/2006/relationships/hyperlink" Target="https://leetcode.com/problems/insert-delete-getrandom-o1/" TargetMode="External"/><Relationship Id="rId146" Type="http://schemas.openxmlformats.org/officeDocument/2006/relationships/hyperlink" Target="https://leetcode.com/problems/single-number/" TargetMode="External"/><Relationship Id="rId7" Type="http://schemas.openxmlformats.org/officeDocument/2006/relationships/hyperlink" Target="https://leetcode.com/problems/valid-sudoku/" TargetMode="External"/><Relationship Id="rId71" Type="http://schemas.openxmlformats.org/officeDocument/2006/relationships/hyperlink" Target="https://beej.us/guide/bgnet/" TargetMode="External"/><Relationship Id="rId92" Type="http://schemas.openxmlformats.org/officeDocument/2006/relationships/hyperlink" Target="https://leetcode.com/problems/clone-graph/" TargetMode="External"/><Relationship Id="rId162" Type="http://schemas.openxmlformats.org/officeDocument/2006/relationships/hyperlink" Target="https://leetcode.com/problems/median-of-two-sorted-arrays/" TargetMode="External"/><Relationship Id="rId2" Type="http://schemas.openxmlformats.org/officeDocument/2006/relationships/hyperlink" Target="https://leetcode.com/problems/valid-anagram/" TargetMode="External"/><Relationship Id="rId29" Type="http://schemas.openxmlformats.org/officeDocument/2006/relationships/hyperlink" Target="https://gameprogrammingpatterns.com/command.html" TargetMode="External"/><Relationship Id="rId24" Type="http://schemas.openxmlformats.org/officeDocument/2006/relationships/hyperlink" Target="https://leetcode.com/problems/min-stack/" TargetMode="External"/><Relationship Id="rId40" Type="http://schemas.openxmlformats.org/officeDocument/2006/relationships/hyperlink" Target="https://leetcode.com/problems/reverse-nodes-in-k-group/" TargetMode="External"/><Relationship Id="rId45" Type="http://schemas.openxmlformats.org/officeDocument/2006/relationships/hyperlink" Target="https://leetcode.com/problems/binary-search/" TargetMode="External"/><Relationship Id="rId66" Type="http://schemas.openxmlformats.org/officeDocument/2006/relationships/hyperlink" Target="https://leetcode.com/problems/count-good-nodes-in-binary-tree/" TargetMode="External"/><Relationship Id="rId87" Type="http://schemas.openxmlformats.org/officeDocument/2006/relationships/hyperlink" Target="https://leetcode.com/problems/design-add-and-search-words-data-structure/" TargetMode="External"/><Relationship Id="rId110" Type="http://schemas.openxmlformats.org/officeDocument/2006/relationships/hyperlink" Target="https://leetcode.com/problems/house-robber/" TargetMode="External"/><Relationship Id="rId115" Type="http://schemas.openxmlformats.org/officeDocument/2006/relationships/hyperlink" Target="https://leetcode.com/problems/decode-ways/" TargetMode="External"/><Relationship Id="rId131" Type="http://schemas.openxmlformats.org/officeDocument/2006/relationships/hyperlink" Target="https://leetcode.com/problems/partition-labels/" TargetMode="External"/><Relationship Id="rId136" Type="http://schemas.openxmlformats.org/officeDocument/2006/relationships/hyperlink" Target="https://leetcode.com/problems/shortest-path-in-binary-matrix/" TargetMode="External"/><Relationship Id="rId157" Type="http://schemas.openxmlformats.org/officeDocument/2006/relationships/hyperlink" Target="https://leetcode.com/problems/sum-of-two-integers/" TargetMode="External"/><Relationship Id="rId61" Type="http://schemas.openxmlformats.org/officeDocument/2006/relationships/hyperlink" Target="https://gameprogrammingpatterns.com/data-locality.html" TargetMode="External"/><Relationship Id="rId82" Type="http://schemas.openxmlformats.org/officeDocument/2006/relationships/hyperlink" Target="https://leetcode.com/problems/combination-sum/" TargetMode="External"/><Relationship Id="rId152" Type="http://schemas.openxmlformats.org/officeDocument/2006/relationships/hyperlink" Target="https://leetcode.com/problems/set-matrix-zeroes/" TargetMode="External"/><Relationship Id="rId19" Type="http://schemas.openxmlformats.org/officeDocument/2006/relationships/hyperlink" Target="https://leetcode.com/problems/permutation-in-string/" TargetMode="External"/><Relationship Id="rId14" Type="http://schemas.openxmlformats.org/officeDocument/2006/relationships/hyperlink" Target="https://gameprogrammingpatterns.com/state.html" TargetMode="External"/><Relationship Id="rId30" Type="http://schemas.openxmlformats.org/officeDocument/2006/relationships/hyperlink" Target="https://gameprogrammingpatterns.com/object-pool.html" TargetMode="External"/><Relationship Id="rId35" Type="http://schemas.openxmlformats.org/officeDocument/2006/relationships/hyperlink" Target="https://leetcode.com/problems/remove-nth-node-from-end-of-list/" TargetMode="External"/><Relationship Id="rId56" Type="http://schemas.openxmlformats.org/officeDocument/2006/relationships/hyperlink" Target="https://leetcode.com/problems/diameter-of-binary-tree/" TargetMode="External"/><Relationship Id="rId77" Type="http://schemas.openxmlformats.org/officeDocument/2006/relationships/hyperlink" Target="https://leetcode.com/problems/task-scheduler/" TargetMode="External"/><Relationship Id="rId100" Type="http://schemas.openxmlformats.org/officeDocument/2006/relationships/hyperlink" Target="https://leetcode.com/problems/redundant-connection/" TargetMode="External"/><Relationship Id="rId105" Type="http://schemas.openxmlformats.org/officeDocument/2006/relationships/hyperlink" Target="https://leetcode.com/problems/swim-in-rising-water/" TargetMode="External"/><Relationship Id="rId126" Type="http://schemas.openxmlformats.org/officeDocument/2006/relationships/hyperlink" Target="https://leetcode.com/problems/merge-intervals/" TargetMode="External"/><Relationship Id="rId147" Type="http://schemas.openxmlformats.org/officeDocument/2006/relationships/hyperlink" Target="https://leetcode.com/problems/number-of-1-bits/" TargetMode="External"/><Relationship Id="rId8" Type="http://schemas.openxmlformats.org/officeDocument/2006/relationships/hyperlink" Target="https://gameprogrammingpatterns.com/singleton.html" TargetMode="External"/><Relationship Id="rId51" Type="http://schemas.openxmlformats.org/officeDocument/2006/relationships/hyperlink" Target="https://refactoring.guru/design-patterns/decorator" TargetMode="External"/><Relationship Id="rId72" Type="http://schemas.openxmlformats.org/officeDocument/2006/relationships/hyperlink" Target="https://refactoring.guru/design-patterns/memento" TargetMode="External"/><Relationship Id="rId93" Type="http://schemas.openxmlformats.org/officeDocument/2006/relationships/hyperlink" Target="https://leetcode.com/problems/rotting-oranges/" TargetMode="External"/><Relationship Id="rId98" Type="http://schemas.openxmlformats.org/officeDocument/2006/relationships/hyperlink" Target="https://leetcode.com/problems/course-schedule-ii/" TargetMode="External"/><Relationship Id="rId121" Type="http://schemas.openxmlformats.org/officeDocument/2006/relationships/hyperlink" Target="https://leetcode.com/problems/coin-change-ii/" TargetMode="External"/><Relationship Id="rId142" Type="http://schemas.openxmlformats.org/officeDocument/2006/relationships/hyperlink" Target="https://leetcode.com/problems/range-sum-query-2d-immutable/" TargetMode="External"/><Relationship Id="rId163" Type="http://schemas.openxmlformats.org/officeDocument/2006/relationships/hyperlink" Target="https://leetcode.com/problems/n-queens/" TargetMode="External"/><Relationship Id="rId3" Type="http://schemas.openxmlformats.org/officeDocument/2006/relationships/hyperlink" Target="https://leetcode.com/problems/two-sum/" TargetMode="External"/><Relationship Id="rId25" Type="http://schemas.openxmlformats.org/officeDocument/2006/relationships/hyperlink" Target="https://leetcode.com/problems/evaluate-reverse-polish-notation/" TargetMode="External"/><Relationship Id="rId46" Type="http://schemas.openxmlformats.org/officeDocument/2006/relationships/hyperlink" Target="https://leetcode.com/problems/search-a-2d-matrix/" TargetMode="External"/><Relationship Id="rId67" Type="http://schemas.openxmlformats.org/officeDocument/2006/relationships/hyperlink" Target="https://leetcode.com/problems/construct-binary-tree-from-preorder-and-inorder-traversal/" TargetMode="External"/><Relationship Id="rId116" Type="http://schemas.openxmlformats.org/officeDocument/2006/relationships/hyperlink" Target="https://leetcode.com/problems/partition-equal-subset-sum/" TargetMode="External"/><Relationship Id="rId137" Type="http://schemas.openxmlformats.org/officeDocument/2006/relationships/hyperlink" Target="https://leetcode.com/problems/word-ladder/" TargetMode="External"/><Relationship Id="rId158" Type="http://schemas.openxmlformats.org/officeDocument/2006/relationships/hyperlink" Target="https://leetcode.com/problems/happy-number/" TargetMode="External"/><Relationship Id="rId20" Type="http://schemas.openxmlformats.org/officeDocument/2006/relationships/hyperlink" Target="https://leetcode.com/problems/minimum-window-substring/" TargetMode="External"/><Relationship Id="rId41" Type="http://schemas.openxmlformats.org/officeDocument/2006/relationships/hyperlink" Target="https://leetcode.com/problems/lru-cache/" TargetMode="External"/><Relationship Id="rId62" Type="http://schemas.openxmlformats.org/officeDocument/2006/relationships/hyperlink" Target="https://pages.cs.wisc.edu/~remzi/OSTEP/" TargetMode="External"/><Relationship Id="rId83" Type="http://schemas.openxmlformats.org/officeDocument/2006/relationships/hyperlink" Target="https://leetcode.com/problems/permutations/" TargetMode="External"/><Relationship Id="rId88" Type="http://schemas.openxmlformats.org/officeDocument/2006/relationships/hyperlink" Target="https://leetcode.com/problems/palindrome-partitioning/" TargetMode="External"/><Relationship Id="rId111" Type="http://schemas.openxmlformats.org/officeDocument/2006/relationships/hyperlink" Target="https://leetcode.com/problems/coin-change/" TargetMode="External"/><Relationship Id="rId132" Type="http://schemas.openxmlformats.org/officeDocument/2006/relationships/hyperlink" Target="https://leetcode.com/problems/minimum-number-of-arrows-to-burst-balloons/" TargetMode="External"/><Relationship Id="rId153" Type="http://schemas.openxmlformats.org/officeDocument/2006/relationships/hyperlink" Target="https://leetcode.com/problems/powx-n/" TargetMode="External"/><Relationship Id="rId15" Type="http://schemas.openxmlformats.org/officeDocument/2006/relationships/hyperlink" Target="https://en.cppreference.com/w/cpp/language/pimpl" TargetMode="External"/><Relationship Id="rId36" Type="http://schemas.openxmlformats.org/officeDocument/2006/relationships/hyperlink" Target="https://leetcode.com/problems/add-two-numbers/" TargetMode="External"/><Relationship Id="rId57" Type="http://schemas.openxmlformats.org/officeDocument/2006/relationships/hyperlink" Target="https://leetcode.com/problems/balanced-binary-tree/" TargetMode="External"/><Relationship Id="rId106" Type="http://schemas.openxmlformats.org/officeDocument/2006/relationships/hyperlink" Target="https://leetcode.com/problems/min-cost-to-connect-all-points/" TargetMode="External"/><Relationship Id="rId127" Type="http://schemas.openxmlformats.org/officeDocument/2006/relationships/hyperlink" Target="https://leetcode.com/problems/non-overlapping-intervals/" TargetMode="External"/><Relationship Id="rId10" Type="http://schemas.openxmlformats.org/officeDocument/2006/relationships/hyperlink" Target="https://leetcode.com/problems/two-sum-ii-input-array-is-sorted/" TargetMode="External"/><Relationship Id="rId31" Type="http://schemas.openxmlformats.org/officeDocument/2006/relationships/hyperlink" Target="https://leetcode.com/problems/reverse-linked-list/" TargetMode="External"/><Relationship Id="rId52" Type="http://schemas.openxmlformats.org/officeDocument/2006/relationships/hyperlink" Target="https://refactoring.guru/design-patterns/adapter" TargetMode="External"/><Relationship Id="rId73" Type="http://schemas.openxmlformats.org/officeDocument/2006/relationships/hyperlink" Target="https://leetcode.com/problems/kth-largest-element-in-a-stream/" TargetMode="External"/><Relationship Id="rId78" Type="http://schemas.openxmlformats.org/officeDocument/2006/relationships/hyperlink" Target="https://leetcode.com/problems/find-median-from-data-stream/" TargetMode="External"/><Relationship Id="rId94" Type="http://schemas.openxmlformats.org/officeDocument/2006/relationships/hyperlink" Target="https://leetcode.com/problems/pacific-atlantic-water-flow/" TargetMode="External"/><Relationship Id="rId99" Type="http://schemas.openxmlformats.org/officeDocument/2006/relationships/hyperlink" Target="https://leetcode.com/problems/number-of-provinces/" TargetMode="External"/><Relationship Id="rId101" Type="http://schemas.openxmlformats.org/officeDocument/2006/relationships/hyperlink" Target="https://leetcode.com/problems/accounts-merge/" TargetMode="External"/><Relationship Id="rId122" Type="http://schemas.openxmlformats.org/officeDocument/2006/relationships/hyperlink" Target="https://leetcode.com/problems/target-sum/" TargetMode="External"/><Relationship Id="rId143" Type="http://schemas.openxmlformats.org/officeDocument/2006/relationships/hyperlink" Target="https://leetcode.com/problems/range-sum-query-mutable/" TargetMode="External"/><Relationship Id="rId148" Type="http://schemas.openxmlformats.org/officeDocument/2006/relationships/hyperlink" Target="https://leetcode.com/problems/counting-bits/" TargetMode="External"/><Relationship Id="rId164" Type="http://schemas.openxmlformats.org/officeDocument/2006/relationships/hyperlink" Target="https://leetcode.com/problems/reconstruct-itinerary/" TargetMode="External"/><Relationship Id="rId4" Type="http://schemas.openxmlformats.org/officeDocument/2006/relationships/hyperlink" Target="https://leetcode.com/problems/group-anagrams/" TargetMode="External"/><Relationship Id="rId9" Type="http://schemas.openxmlformats.org/officeDocument/2006/relationships/hyperlink" Target="https://leetcode.com/problems/valid-palindrome/" TargetMode="External"/><Relationship Id="rId26" Type="http://schemas.openxmlformats.org/officeDocument/2006/relationships/hyperlink" Target="https://leetcode.com/problems/daily-temperatures/" TargetMode="External"/><Relationship Id="rId47" Type="http://schemas.openxmlformats.org/officeDocument/2006/relationships/hyperlink" Target="https://leetcode.com/problems/koko-eating-bananas/" TargetMode="External"/><Relationship Id="rId68" Type="http://schemas.openxmlformats.org/officeDocument/2006/relationships/hyperlink" Target="https://leetcode.com/problems/binary-tree-maximum-path-sum/" TargetMode="External"/><Relationship Id="rId89" Type="http://schemas.openxmlformats.org/officeDocument/2006/relationships/hyperlink" Target="https://leetcode.com/problems/letter-combinations-of-a-phone-number/" TargetMode="External"/><Relationship Id="rId112" Type="http://schemas.openxmlformats.org/officeDocument/2006/relationships/hyperlink" Target="https://leetcode.com/problems/longest-increasing-subsequence/" TargetMode="External"/><Relationship Id="rId133" Type="http://schemas.openxmlformats.org/officeDocument/2006/relationships/hyperlink" Target="https://rigtorp.se/" TargetMode="External"/><Relationship Id="rId154" Type="http://schemas.openxmlformats.org/officeDocument/2006/relationships/hyperlink" Target="https://leetcode.com/problems/design-twitter/" TargetMode="External"/><Relationship Id="rId16" Type="http://schemas.openxmlformats.org/officeDocument/2006/relationships/hyperlink" Target="https://leetcode.com/problems/best-time-to-buy-and-sell-stock/" TargetMode="External"/><Relationship Id="rId37" Type="http://schemas.openxmlformats.org/officeDocument/2006/relationships/hyperlink" Target="https://leetcode.com/problems/copy-list-with-random-pointer/" TargetMode="External"/><Relationship Id="rId58" Type="http://schemas.openxmlformats.org/officeDocument/2006/relationships/hyperlink" Target="https://leetcode.com/problems/binary-tree-level-order-traversal/" TargetMode="External"/><Relationship Id="rId79" Type="http://schemas.openxmlformats.org/officeDocument/2006/relationships/hyperlink" Target="https://use-the-index-luke.com/" TargetMode="External"/><Relationship Id="rId102" Type="http://schemas.openxmlformats.org/officeDocument/2006/relationships/hyperlink" Target="https://leetcode.com/problems/network-delay-time/" TargetMode="External"/><Relationship Id="rId123" Type="http://schemas.openxmlformats.org/officeDocument/2006/relationships/hyperlink" Target="https://leetcode.com/problems/best-time-to-buy-and-sell-stock-with-cooldown/" TargetMode="External"/><Relationship Id="rId144" Type="http://schemas.openxmlformats.org/officeDocument/2006/relationships/hyperlink" Target="https://leetcode.com/problems/the-skyline-problem/" TargetMode="External"/><Relationship Id="rId90" Type="http://schemas.openxmlformats.org/officeDocument/2006/relationships/hyperlink" Target="https://leetcode.com/problems/number-of-islands/" TargetMode="External"/><Relationship Id="rId165" Type="http://schemas.openxmlformats.org/officeDocument/2006/relationships/hyperlink" Target="https://leetcode.com/problems/time-based-key-value-store/" TargetMode="External"/><Relationship Id="rId27" Type="http://schemas.openxmlformats.org/officeDocument/2006/relationships/hyperlink" Target="https://leetcode.com/problems/car-fleet/" TargetMode="External"/><Relationship Id="rId48" Type="http://schemas.openxmlformats.org/officeDocument/2006/relationships/hyperlink" Target="https://leetcode.com/problems/find-minimum-in-rotated-sorted-array/" TargetMode="External"/><Relationship Id="rId69" Type="http://schemas.openxmlformats.org/officeDocument/2006/relationships/hyperlink" Target="https://leetcode.com/problems/serialize-and-deserialize-binary-tree/" TargetMode="External"/><Relationship Id="rId113" Type="http://schemas.openxmlformats.org/officeDocument/2006/relationships/hyperlink" Target="https://leetcode.com/problems/house-robber-ii/" TargetMode="External"/><Relationship Id="rId134" Type="http://schemas.openxmlformats.org/officeDocument/2006/relationships/hyperlink" Target="https://rigtorp.se/" TargetMode="External"/><Relationship Id="rId80" Type="http://schemas.openxmlformats.org/officeDocument/2006/relationships/hyperlink" Target="https://leetcode.com/problems/implement-trie-prefix-tree/" TargetMode="External"/><Relationship Id="rId155" Type="http://schemas.openxmlformats.org/officeDocument/2006/relationships/hyperlink" Target="https://leetcode.com/problems/longest-consecutive-seque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zoomScale="130" zoomScaleNormal="130" workbookViewId="0"/>
  </sheetViews>
  <sheetFormatPr defaultColWidth="8.62890625" defaultRowHeight="14.4" x14ac:dyDescent="0.55000000000000004"/>
  <cols>
    <col min="1" max="1" width="20" customWidth="1"/>
    <col min="2" max="2" width="10" customWidth="1"/>
    <col min="3" max="3" width="13" customWidth="1"/>
    <col min="4" max="5" width="10" customWidth="1"/>
    <col min="6" max="7" width="3" customWidth="1"/>
    <col min="8" max="8" width="85" customWidth="1"/>
  </cols>
  <sheetData>
    <row r="1" spans="1:8" ht="19.75" customHeight="1" x14ac:dyDescent="0.7">
      <c r="A1" s="1" t="s">
        <v>378</v>
      </c>
    </row>
    <row r="3" spans="1:8" ht="15" customHeight="1" x14ac:dyDescent="0.55000000000000004">
      <c r="A3" s="2" t="s">
        <v>379</v>
      </c>
      <c r="B3" s="3">
        <f>COUNTIF(Plan!$A$2:$A$358,"Done")</f>
        <v>1</v>
      </c>
      <c r="C3" s="3">
        <f>COUNTA(Plan!$A$2:$A$358)</f>
        <v>331</v>
      </c>
      <c r="D3" s="4">
        <f>IF(C3=0,0,B3/C3)</f>
        <v>3.0211480362537764E-3</v>
      </c>
      <c r="E3" s="5" t="s">
        <v>380</v>
      </c>
      <c r="H3" s="6" t="s">
        <v>381</v>
      </c>
    </row>
    <row r="4" spans="1:8" ht="15" customHeight="1" x14ac:dyDescent="0.55000000000000004">
      <c r="H4" s="7" t="s">
        <v>382</v>
      </c>
    </row>
    <row r="5" spans="1:8" ht="15" customHeight="1" x14ac:dyDescent="0.55000000000000004">
      <c r="A5" s="8" t="s">
        <v>383</v>
      </c>
      <c r="H5" s="7" t="s">
        <v>384</v>
      </c>
    </row>
    <row r="6" spans="1:8" ht="15" customHeight="1" x14ac:dyDescent="0.55000000000000004">
      <c r="A6" s="9" t="s">
        <v>1</v>
      </c>
      <c r="B6" s="9" t="s">
        <v>385</v>
      </c>
      <c r="C6" s="9" t="s">
        <v>386</v>
      </c>
      <c r="D6" s="9" t="s">
        <v>387</v>
      </c>
      <c r="E6" s="9" t="s">
        <v>388</v>
      </c>
      <c r="H6" s="7" t="s">
        <v>389</v>
      </c>
    </row>
    <row r="7" spans="1:8" ht="15" customHeight="1" x14ac:dyDescent="0.55000000000000004">
      <c r="A7" s="10">
        <v>1</v>
      </c>
      <c r="B7" s="11">
        <f>COUNTIFS(Plan!$B$2:$B$358,$A7,Plan!$A$2:$A$358,"Done")</f>
        <v>1</v>
      </c>
      <c r="C7" s="11">
        <f>COUNTIFS(Plan!$B$2:$B$358,$A7,Plan!$A$2:$A$358,"In progress")</f>
        <v>0</v>
      </c>
      <c r="D7" s="11">
        <f>COUNTIF(Plan!$B$2:$B$358,$A7)</f>
        <v>53</v>
      </c>
      <c r="E7" s="12">
        <f t="shared" ref="E7:E12" si="0">IF(D7=0,0,B7/D7)</f>
        <v>1.8867924528301886E-2</v>
      </c>
      <c r="H7" s="7" t="s">
        <v>390</v>
      </c>
    </row>
    <row r="8" spans="1:8" ht="15" customHeight="1" x14ac:dyDescent="0.55000000000000004">
      <c r="A8" s="10">
        <v>2</v>
      </c>
      <c r="B8" s="11">
        <f>COUNTIFS(Plan!$B$2:$B$358,$A8,Plan!$A$2:$A$358,"Done")</f>
        <v>0</v>
      </c>
      <c r="C8" s="11">
        <f>COUNTIFS(Plan!$B$2:$B$358,$A8,Plan!$A$2:$A$358,"In progress")</f>
        <v>0</v>
      </c>
      <c r="D8" s="11">
        <f>COUNTIF(Plan!$B$2:$B$358,$A8)</f>
        <v>67</v>
      </c>
      <c r="E8" s="12">
        <f t="shared" si="0"/>
        <v>0</v>
      </c>
      <c r="H8" s="7" t="s">
        <v>391</v>
      </c>
    </row>
    <row r="9" spans="1:8" ht="15" customHeight="1" x14ac:dyDescent="0.55000000000000004">
      <c r="A9" s="10">
        <v>3</v>
      </c>
      <c r="B9" s="11">
        <f>COUNTIFS(Plan!$B$2:$B$358,$A9,Plan!$A$2:$A$358,"Done")</f>
        <v>0</v>
      </c>
      <c r="C9" s="11">
        <f>COUNTIFS(Plan!$B$2:$B$358,$A9,Plan!$A$2:$A$358,"In progress")</f>
        <v>0</v>
      </c>
      <c r="D9" s="11">
        <f>COUNTIF(Plan!$B$2:$B$358,$A9)</f>
        <v>63</v>
      </c>
      <c r="E9" s="12">
        <f t="shared" si="0"/>
        <v>0</v>
      </c>
      <c r="H9" s="7" t="s">
        <v>392</v>
      </c>
    </row>
    <row r="10" spans="1:8" ht="15" customHeight="1" x14ac:dyDescent="0.55000000000000004">
      <c r="A10" s="10">
        <v>4</v>
      </c>
      <c r="B10" s="11">
        <f>COUNTIFS(Plan!$B$2:$B$358,$A10,Plan!$A$2:$A$358,"Done")</f>
        <v>0</v>
      </c>
      <c r="C10" s="11">
        <f>COUNTIFS(Plan!$B$2:$B$358,$A10,Plan!$A$2:$A$358,"In progress")</f>
        <v>0</v>
      </c>
      <c r="D10" s="11">
        <f>COUNTIF(Plan!$B$2:$B$358,$A10)</f>
        <v>67</v>
      </c>
      <c r="E10" s="12">
        <f t="shared" si="0"/>
        <v>0</v>
      </c>
      <c r="H10" s="7"/>
    </row>
    <row r="11" spans="1:8" ht="15" customHeight="1" x14ac:dyDescent="0.55000000000000004">
      <c r="A11" s="10">
        <v>5</v>
      </c>
      <c r="B11" s="11">
        <f>COUNTIFS(Plan!$B$2:$B$358,$A11,Plan!$A$2:$A$358,"Done")</f>
        <v>0</v>
      </c>
      <c r="C11" s="11">
        <f>COUNTIFS(Plan!$B$2:$B$358,$A11,Plan!$A$2:$A$358,"In progress")</f>
        <v>0</v>
      </c>
      <c r="D11" s="11">
        <f>COUNTIF(Plan!$B$2:$B$358,$A11)</f>
        <v>59</v>
      </c>
      <c r="E11" s="12">
        <f t="shared" si="0"/>
        <v>0</v>
      </c>
      <c r="H11" s="6" t="s">
        <v>393</v>
      </c>
    </row>
    <row r="12" spans="1:8" ht="15" customHeight="1" x14ac:dyDescent="0.55000000000000004">
      <c r="A12" s="10">
        <v>6</v>
      </c>
      <c r="B12" s="11">
        <f>COUNTIFS(Plan!$B$2:$B$358,$A12,Plan!$A$2:$A$358,"Done")</f>
        <v>0</v>
      </c>
      <c r="C12" s="11">
        <f>COUNTIFS(Plan!$B$2:$B$358,$A12,Plan!$A$2:$A$358,"In progress")</f>
        <v>0</v>
      </c>
      <c r="D12" s="11">
        <f>COUNTIF(Plan!$B$2:$B$358,$A12)</f>
        <v>22</v>
      </c>
      <c r="E12" s="12">
        <f t="shared" si="0"/>
        <v>0</v>
      </c>
      <c r="H12" s="7" t="s">
        <v>394</v>
      </c>
    </row>
    <row r="13" spans="1:8" ht="15" customHeight="1" x14ac:dyDescent="0.55000000000000004">
      <c r="H13" s="7" t="s">
        <v>395</v>
      </c>
    </row>
    <row r="14" spans="1:8" ht="15" customHeight="1" x14ac:dyDescent="0.55000000000000004">
      <c r="A14" s="8" t="s">
        <v>396</v>
      </c>
      <c r="H14" s="7" t="s">
        <v>397</v>
      </c>
    </row>
    <row r="15" spans="1:8" ht="15" customHeight="1" x14ac:dyDescent="0.55000000000000004">
      <c r="A15" s="9" t="s">
        <v>3</v>
      </c>
      <c r="B15" s="9" t="s">
        <v>385</v>
      </c>
      <c r="C15" s="9" t="s">
        <v>386</v>
      </c>
      <c r="D15" s="9" t="s">
        <v>387</v>
      </c>
      <c r="E15" s="9" t="s">
        <v>388</v>
      </c>
      <c r="H15" s="7" t="s">
        <v>398</v>
      </c>
    </row>
    <row r="16" spans="1:8" ht="15" customHeight="1" x14ac:dyDescent="0.55000000000000004">
      <c r="A16" s="10" t="s">
        <v>10</v>
      </c>
      <c r="B16" s="11">
        <f>COUNTIFS(Plan!$D$2:$D$358,$A16,Plan!$A$2:$A$358,"Done")</f>
        <v>1</v>
      </c>
      <c r="C16" s="11">
        <f>COUNTIFS(Plan!$D$2:$D$358,$A16,Plan!$A$2:$A$358,"In progress")</f>
        <v>0</v>
      </c>
      <c r="D16" s="11">
        <f>COUNTIF(Plan!$D$2:$D$358,$A16)</f>
        <v>140</v>
      </c>
      <c r="E16" s="12">
        <f t="shared" ref="E16:E26" si="1">IF(D16=0,0,B16/D16)</f>
        <v>7.1428571428571426E-3</v>
      </c>
      <c r="H16" s="7" t="s">
        <v>399</v>
      </c>
    </row>
    <row r="17" spans="1:8" ht="15" customHeight="1" x14ac:dyDescent="0.55000000000000004">
      <c r="A17" s="10" t="s">
        <v>20</v>
      </c>
      <c r="B17" s="11">
        <f>COUNTIFS(Plan!$D$2:$D$358,$A17,Plan!$A$2:$A$358,"Done")</f>
        <v>0</v>
      </c>
      <c r="C17" s="11">
        <f>COUNTIFS(Plan!$D$2:$D$358,$A17,Plan!$A$2:$A$358,"In progress")</f>
        <v>0</v>
      </c>
      <c r="D17" s="11">
        <f>COUNTIF(Plan!$D$2:$D$358,$A17)</f>
        <v>22</v>
      </c>
      <c r="E17" s="12">
        <f t="shared" si="1"/>
        <v>0</v>
      </c>
      <c r="H17" s="7"/>
    </row>
    <row r="18" spans="1:8" ht="15" customHeight="1" x14ac:dyDescent="0.55000000000000004">
      <c r="A18" s="10" t="s">
        <v>22</v>
      </c>
      <c r="B18" s="11">
        <f>COUNTIFS(Plan!$D$2:$D$358,$A18,Plan!$A$2:$A$358,"Done")</f>
        <v>0</v>
      </c>
      <c r="C18" s="11">
        <f>COUNTIFS(Plan!$D$2:$D$358,$A18,Plan!$A$2:$A$358,"In progress")</f>
        <v>0</v>
      </c>
      <c r="D18" s="11">
        <f>COUNTIF(Plan!$D$2:$D$358,$A18)</f>
        <v>25</v>
      </c>
      <c r="E18" s="12">
        <f t="shared" si="1"/>
        <v>0</v>
      </c>
      <c r="H18" s="6" t="s">
        <v>400</v>
      </c>
    </row>
    <row r="19" spans="1:8" ht="15" customHeight="1" x14ac:dyDescent="0.55000000000000004">
      <c r="A19" s="10" t="s">
        <v>24</v>
      </c>
      <c r="B19" s="11">
        <f>COUNTIFS(Plan!$D$2:$D$358,$A19,Plan!$A$2:$A$358,"Done")</f>
        <v>0</v>
      </c>
      <c r="C19" s="11">
        <f>COUNTIFS(Plan!$D$2:$D$358,$A19,Plan!$A$2:$A$358,"In progress")</f>
        <v>0</v>
      </c>
      <c r="D19" s="11">
        <f>COUNTIF(Plan!$D$2:$D$358,$A19)</f>
        <v>31</v>
      </c>
      <c r="E19" s="12">
        <f t="shared" si="1"/>
        <v>0</v>
      </c>
      <c r="H19" s="7" t="s">
        <v>401</v>
      </c>
    </row>
    <row r="20" spans="1:8" ht="15" customHeight="1" x14ac:dyDescent="0.55000000000000004">
      <c r="A20" s="10" t="s">
        <v>27</v>
      </c>
      <c r="B20" s="11">
        <f>COUNTIFS(Plan!$D$2:$D$358,$A20,Plan!$A$2:$A$358,"Done")</f>
        <v>0</v>
      </c>
      <c r="C20" s="11">
        <f>COUNTIFS(Plan!$D$2:$D$358,$A20,Plan!$A$2:$A$358,"In progress")</f>
        <v>0</v>
      </c>
      <c r="D20" s="11">
        <f>COUNTIF(Plan!$D$2:$D$358,$A20)</f>
        <v>24</v>
      </c>
      <c r="E20" s="12">
        <f t="shared" si="1"/>
        <v>0</v>
      </c>
      <c r="H20" s="7" t="s">
        <v>402</v>
      </c>
    </row>
    <row r="21" spans="1:8" ht="15" customHeight="1" x14ac:dyDescent="0.55000000000000004">
      <c r="A21" s="10" t="s">
        <v>33</v>
      </c>
      <c r="B21" s="11">
        <f>COUNTIFS(Plan!$D$2:$D$358,$A21,Plan!$A$2:$A$358,"Done")</f>
        <v>0</v>
      </c>
      <c r="C21" s="11">
        <f>COUNTIFS(Plan!$D$2:$D$358,$A21,Plan!$A$2:$A$358,"In progress")</f>
        <v>0</v>
      </c>
      <c r="D21" s="11">
        <f>COUNTIF(Plan!$D$2:$D$358,$A21)</f>
        <v>13</v>
      </c>
      <c r="E21" s="12">
        <f t="shared" si="1"/>
        <v>0</v>
      </c>
      <c r="H21" s="7" t="s">
        <v>403</v>
      </c>
    </row>
    <row r="22" spans="1:8" ht="15" customHeight="1" x14ac:dyDescent="0.55000000000000004">
      <c r="A22" s="10" t="s">
        <v>151</v>
      </c>
      <c r="B22" s="11">
        <f>COUNTIFS(Plan!$D$2:$D$358,$A22,Plan!$A$2:$A$358,"Done")</f>
        <v>0</v>
      </c>
      <c r="C22" s="11">
        <f>COUNTIFS(Plan!$D$2:$D$358,$A22,Plan!$A$2:$A$358,"In progress")</f>
        <v>0</v>
      </c>
      <c r="D22" s="11">
        <f>COUNTIF(Plan!$D$2:$D$358,$A22)</f>
        <v>1</v>
      </c>
      <c r="E22" s="12">
        <f t="shared" si="1"/>
        <v>0</v>
      </c>
      <c r="H22" s="7" t="s">
        <v>404</v>
      </c>
    </row>
    <row r="23" spans="1:8" ht="15" customHeight="1" x14ac:dyDescent="0.55000000000000004">
      <c r="A23" s="10" t="s">
        <v>352</v>
      </c>
      <c r="B23" s="11">
        <f>COUNTIFS(Plan!$D$2:$D$358,$A23,Plan!$A$2:$A$358,"Done")</f>
        <v>0</v>
      </c>
      <c r="C23" s="11">
        <f>COUNTIFS(Plan!$D$2:$D$358,$A23,Plan!$A$2:$A$358,"In progress")</f>
        <v>0</v>
      </c>
      <c r="D23" s="11">
        <f>COUNTIF(Plan!$D$2:$D$358,$A23)</f>
        <v>9</v>
      </c>
      <c r="E23" s="12">
        <f t="shared" si="1"/>
        <v>0</v>
      </c>
    </row>
    <row r="24" spans="1:8" x14ac:dyDescent="0.55000000000000004">
      <c r="A24" s="10" t="s">
        <v>116</v>
      </c>
      <c r="B24" s="11">
        <f>COUNTIFS(Plan!$D$2:$D$358,$A24,Plan!$A$2:$A$358,"Done")</f>
        <v>0</v>
      </c>
      <c r="C24" s="11">
        <f>COUNTIFS(Plan!$D$2:$D$358,$A24,Plan!$A$2:$A$358,"In progress")</f>
        <v>0</v>
      </c>
      <c r="D24" s="11">
        <f>COUNTIF(Plan!$D$2:$D$358,$A24)</f>
        <v>13</v>
      </c>
      <c r="E24" s="12">
        <f t="shared" si="1"/>
        <v>0</v>
      </c>
    </row>
    <row r="25" spans="1:8" ht="15" customHeight="1" x14ac:dyDescent="0.55000000000000004">
      <c r="A25" s="10" t="s">
        <v>29</v>
      </c>
      <c r="B25" s="11">
        <f>COUNTIFS(Plan!$D$2:$D$358,$A25,Plan!$A$2:$A$358,"Done")</f>
        <v>0</v>
      </c>
      <c r="C25" s="11">
        <f>COUNTIFS(Plan!$D$2:$D$358,$A25,Plan!$A$2:$A$358,"In progress")</f>
        <v>0</v>
      </c>
      <c r="D25" s="11">
        <f>COUNTIF(Plan!$D$2:$D$358,$A25)</f>
        <v>17</v>
      </c>
      <c r="E25" s="12">
        <f t="shared" si="1"/>
        <v>0</v>
      </c>
    </row>
    <row r="26" spans="1:8" ht="15" customHeight="1" x14ac:dyDescent="0.55000000000000004">
      <c r="A26" s="10" t="s">
        <v>31</v>
      </c>
      <c r="B26" s="11">
        <f>COUNTIFS(Plan!$D$2:$D$358,$A26,Plan!$A$2:$A$358,"Done")</f>
        <v>0</v>
      </c>
      <c r="C26" s="11">
        <f>COUNTIFS(Plan!$D$2:$D$358,$A26,Plan!$A$2:$A$358,"In progress")</f>
        <v>0</v>
      </c>
      <c r="D26" s="11">
        <f>COUNTIF(Plan!$D$2:$D$358,$A26)</f>
        <v>36</v>
      </c>
      <c r="E26" s="12">
        <f t="shared" si="1"/>
        <v>0</v>
      </c>
    </row>
    <row r="27" spans="1:8" ht="15" customHeight="1" x14ac:dyDescent="0.55000000000000004"/>
    <row r="28" spans="1:8" ht="15" customHeight="1" x14ac:dyDescent="0.55000000000000004">
      <c r="A28" s="8" t="s">
        <v>405</v>
      </c>
    </row>
    <row r="29" spans="1:8" ht="15" customHeight="1" x14ac:dyDescent="0.55000000000000004">
      <c r="A29" s="9" t="s">
        <v>2</v>
      </c>
      <c r="B29" s="9" t="s">
        <v>385</v>
      </c>
      <c r="C29" s="9" t="s">
        <v>386</v>
      </c>
      <c r="D29" s="9" t="s">
        <v>387</v>
      </c>
      <c r="E29" s="9" t="s">
        <v>388</v>
      </c>
    </row>
    <row r="30" spans="1:8" ht="15" customHeight="1" x14ac:dyDescent="0.55000000000000004">
      <c r="A30" s="10">
        <v>1</v>
      </c>
      <c r="B30" s="11">
        <f>COUNTIFS(Plan!$C$2:$C$358,$A30,Plan!$A$2:$A$358,"Done")</f>
        <v>1</v>
      </c>
      <c r="C30" s="11">
        <f>COUNTIFS(Plan!$C$2:$C$358,$A30,Plan!$A$2:$A$358,"In progress")</f>
        <v>0</v>
      </c>
      <c r="D30" s="11">
        <f>COUNTIF(Plan!$C$2:$C$358,$A30)</f>
        <v>15</v>
      </c>
      <c r="E30" s="12">
        <f t="shared" ref="E30:E55" si="2">IF(D30=0,0,B30/D30)</f>
        <v>6.6666666666666666E-2</v>
      </c>
    </row>
    <row r="31" spans="1:8" ht="15" customHeight="1" x14ac:dyDescent="0.55000000000000004">
      <c r="A31" s="10">
        <v>2</v>
      </c>
      <c r="B31" s="11">
        <f>COUNTIFS(Plan!$C$2:$C$358,$A31,Plan!$A$2:$A$358,"Done")</f>
        <v>0</v>
      </c>
      <c r="C31" s="11">
        <f>COUNTIFS(Plan!$C$2:$C$358,$A31,Plan!$A$2:$A$358,"In progress")</f>
        <v>0</v>
      </c>
      <c r="D31" s="11">
        <f>COUNTIF(Plan!$C$2:$C$358,$A31)</f>
        <v>12</v>
      </c>
      <c r="E31" s="12">
        <f t="shared" si="2"/>
        <v>0</v>
      </c>
    </row>
    <row r="32" spans="1:8" ht="15" customHeight="1" x14ac:dyDescent="0.55000000000000004">
      <c r="A32" s="10">
        <v>3</v>
      </c>
      <c r="B32" s="11">
        <f>COUNTIFS(Plan!$C$2:$C$358,$A32,Plan!$A$2:$A$358,"Done")</f>
        <v>0</v>
      </c>
      <c r="C32" s="11">
        <f>COUNTIFS(Plan!$C$2:$C$358,$A32,Plan!$A$2:$A$358,"In progress")</f>
        <v>0</v>
      </c>
      <c r="D32" s="11">
        <f>COUNTIF(Plan!$C$2:$C$358,$A32)</f>
        <v>12</v>
      </c>
      <c r="E32" s="12">
        <f t="shared" si="2"/>
        <v>0</v>
      </c>
    </row>
    <row r="33" spans="1:5" ht="15" customHeight="1" x14ac:dyDescent="0.55000000000000004">
      <c r="A33" s="10">
        <v>4</v>
      </c>
      <c r="B33" s="11">
        <f>COUNTIFS(Plan!$C$2:$C$358,$A33,Plan!$A$2:$A$358,"Done")</f>
        <v>0</v>
      </c>
      <c r="C33" s="11">
        <f>COUNTIFS(Plan!$C$2:$C$358,$A33,Plan!$A$2:$A$358,"In progress")</f>
        <v>0</v>
      </c>
      <c r="D33" s="11">
        <f>COUNTIF(Plan!$C$2:$C$358,$A33)</f>
        <v>14</v>
      </c>
      <c r="E33" s="12">
        <f t="shared" si="2"/>
        <v>0</v>
      </c>
    </row>
    <row r="34" spans="1:5" ht="15" customHeight="1" x14ac:dyDescent="0.55000000000000004">
      <c r="A34" s="10">
        <v>5</v>
      </c>
      <c r="B34" s="11">
        <f>COUNTIFS(Plan!$C$2:$C$358,$A34,Plan!$A$2:$A$358,"Done")</f>
        <v>0</v>
      </c>
      <c r="C34" s="11">
        <f>COUNTIFS(Plan!$C$2:$C$358,$A34,Plan!$A$2:$A$358,"In progress")</f>
        <v>0</v>
      </c>
      <c r="D34" s="11">
        <f>COUNTIF(Plan!$C$2:$C$358,$A34)</f>
        <v>19</v>
      </c>
      <c r="E34" s="12">
        <f t="shared" si="2"/>
        <v>0</v>
      </c>
    </row>
    <row r="35" spans="1:5" ht="15" customHeight="1" x14ac:dyDescent="0.55000000000000004">
      <c r="A35" s="10">
        <v>6</v>
      </c>
      <c r="B35" s="11">
        <f>COUNTIFS(Plan!$C$2:$C$358,$A35,Plan!$A$2:$A$358,"Done")</f>
        <v>0</v>
      </c>
      <c r="C35" s="11">
        <f>COUNTIFS(Plan!$C$2:$C$358,$A35,Plan!$A$2:$A$358,"In progress")</f>
        <v>0</v>
      </c>
      <c r="D35" s="11">
        <f>COUNTIF(Plan!$C$2:$C$358,$A35)</f>
        <v>15</v>
      </c>
      <c r="E35" s="12">
        <f t="shared" si="2"/>
        <v>0</v>
      </c>
    </row>
    <row r="36" spans="1:5" ht="15" customHeight="1" x14ac:dyDescent="0.55000000000000004">
      <c r="A36" s="10">
        <v>7</v>
      </c>
      <c r="B36" s="11">
        <f>COUNTIFS(Plan!$C$2:$C$358,$A36,Plan!$A$2:$A$358,"Done")</f>
        <v>0</v>
      </c>
      <c r="C36" s="11">
        <f>COUNTIFS(Plan!$C$2:$C$358,$A36,Plan!$A$2:$A$358,"In progress")</f>
        <v>0</v>
      </c>
      <c r="D36" s="11">
        <f>COUNTIF(Plan!$C$2:$C$358,$A36)</f>
        <v>15</v>
      </c>
      <c r="E36" s="12">
        <f t="shared" si="2"/>
        <v>0</v>
      </c>
    </row>
    <row r="37" spans="1:5" ht="15" customHeight="1" x14ac:dyDescent="0.55000000000000004">
      <c r="A37" s="10">
        <v>8</v>
      </c>
      <c r="B37" s="11">
        <f>COUNTIFS(Plan!$C$2:$C$358,$A37,Plan!$A$2:$A$358,"Done")</f>
        <v>0</v>
      </c>
      <c r="C37" s="11">
        <f>COUNTIFS(Plan!$C$2:$C$358,$A37,Plan!$A$2:$A$358,"In progress")</f>
        <v>0</v>
      </c>
      <c r="D37" s="11">
        <f>COUNTIF(Plan!$C$2:$C$358,$A37)</f>
        <v>18</v>
      </c>
      <c r="E37" s="12">
        <f t="shared" si="2"/>
        <v>0</v>
      </c>
    </row>
    <row r="38" spans="1:5" ht="15" customHeight="1" x14ac:dyDescent="0.55000000000000004">
      <c r="A38" s="10">
        <v>9</v>
      </c>
      <c r="B38" s="11">
        <f>COUNTIFS(Plan!$C$2:$C$358,$A38,Plan!$A$2:$A$358,"Done")</f>
        <v>0</v>
      </c>
      <c r="C38" s="11">
        <f>COUNTIFS(Plan!$C$2:$C$358,$A38,Plan!$A$2:$A$358,"In progress")</f>
        <v>0</v>
      </c>
      <c r="D38" s="11">
        <f>COUNTIF(Plan!$C$2:$C$358,$A38)</f>
        <v>15</v>
      </c>
      <c r="E38" s="12">
        <f t="shared" si="2"/>
        <v>0</v>
      </c>
    </row>
    <row r="39" spans="1:5" ht="15" customHeight="1" x14ac:dyDescent="0.55000000000000004">
      <c r="A39" s="10">
        <v>10</v>
      </c>
      <c r="B39" s="11">
        <f>COUNTIFS(Plan!$C$2:$C$358,$A39,Plan!$A$2:$A$358,"Done")</f>
        <v>0</v>
      </c>
      <c r="C39" s="11">
        <f>COUNTIFS(Plan!$C$2:$C$358,$A39,Plan!$A$2:$A$358,"In progress")</f>
        <v>0</v>
      </c>
      <c r="D39" s="11">
        <f>COUNTIF(Plan!$C$2:$C$358,$A39)</f>
        <v>18</v>
      </c>
      <c r="E39" s="12">
        <f t="shared" si="2"/>
        <v>0</v>
      </c>
    </row>
    <row r="40" spans="1:5" ht="15" customHeight="1" x14ac:dyDescent="0.55000000000000004">
      <c r="A40" s="10">
        <v>11</v>
      </c>
      <c r="B40" s="11">
        <f>COUNTIFS(Plan!$C$2:$C$358,$A40,Plan!$A$2:$A$358,"Done")</f>
        <v>0</v>
      </c>
      <c r="C40" s="11">
        <f>COUNTIFS(Plan!$C$2:$C$358,$A40,Plan!$A$2:$A$358,"In progress")</f>
        <v>0</v>
      </c>
      <c r="D40" s="11">
        <f>COUNTIF(Plan!$C$2:$C$358,$A40)</f>
        <v>15</v>
      </c>
      <c r="E40" s="12">
        <f t="shared" si="2"/>
        <v>0</v>
      </c>
    </row>
    <row r="41" spans="1:5" ht="15" customHeight="1" x14ac:dyDescent="0.55000000000000004">
      <c r="A41" s="10">
        <v>12</v>
      </c>
      <c r="B41" s="11">
        <f>COUNTIFS(Plan!$C$2:$C$358,$A41,Plan!$A$2:$A$358,"Done")</f>
        <v>0</v>
      </c>
      <c r="C41" s="11">
        <f>COUNTIFS(Plan!$C$2:$C$358,$A41,Plan!$A$2:$A$358,"In progress")</f>
        <v>0</v>
      </c>
      <c r="D41" s="11">
        <f>COUNTIF(Plan!$C$2:$C$358,$A41)</f>
        <v>15</v>
      </c>
      <c r="E41" s="12">
        <f t="shared" si="2"/>
        <v>0</v>
      </c>
    </row>
    <row r="42" spans="1:5" ht="15" customHeight="1" x14ac:dyDescent="0.55000000000000004">
      <c r="A42" s="10">
        <v>13</v>
      </c>
      <c r="B42" s="11">
        <f>COUNTIFS(Plan!$C$2:$C$358,$A42,Plan!$A$2:$A$358,"Done")</f>
        <v>0</v>
      </c>
      <c r="C42" s="11">
        <f>COUNTIFS(Plan!$C$2:$C$358,$A42,Plan!$A$2:$A$358,"In progress")</f>
        <v>0</v>
      </c>
      <c r="D42" s="11">
        <f>COUNTIF(Plan!$C$2:$C$358,$A42)</f>
        <v>14</v>
      </c>
      <c r="E42" s="12">
        <f t="shared" si="2"/>
        <v>0</v>
      </c>
    </row>
    <row r="43" spans="1:5" ht="15" customHeight="1" x14ac:dyDescent="0.55000000000000004">
      <c r="A43" s="10">
        <v>14</v>
      </c>
      <c r="B43" s="11">
        <f>COUNTIFS(Plan!$C$2:$C$358,$A43,Plan!$A$2:$A$358,"Done")</f>
        <v>0</v>
      </c>
      <c r="C43" s="11">
        <f>COUNTIFS(Plan!$C$2:$C$358,$A43,Plan!$A$2:$A$358,"In progress")</f>
        <v>0</v>
      </c>
      <c r="D43" s="11">
        <f>COUNTIF(Plan!$C$2:$C$358,$A43)</f>
        <v>17</v>
      </c>
      <c r="E43" s="12">
        <f t="shared" si="2"/>
        <v>0</v>
      </c>
    </row>
    <row r="44" spans="1:5" ht="15" customHeight="1" x14ac:dyDescent="0.55000000000000004">
      <c r="A44" s="10">
        <v>15</v>
      </c>
      <c r="B44" s="11">
        <f>COUNTIFS(Plan!$C$2:$C$358,$A44,Plan!$A$2:$A$358,"Done")</f>
        <v>0</v>
      </c>
      <c r="C44" s="11">
        <f>COUNTIFS(Plan!$C$2:$C$358,$A44,Plan!$A$2:$A$358,"In progress")</f>
        <v>0</v>
      </c>
      <c r="D44" s="11">
        <f>COUNTIF(Plan!$C$2:$C$358,$A44)</f>
        <v>17</v>
      </c>
      <c r="E44" s="12">
        <f t="shared" si="2"/>
        <v>0</v>
      </c>
    </row>
    <row r="45" spans="1:5" ht="15" customHeight="1" x14ac:dyDescent="0.55000000000000004">
      <c r="A45" s="10">
        <v>16</v>
      </c>
      <c r="B45" s="11">
        <f>COUNTIFS(Plan!$C$2:$C$358,$A45,Plan!$A$2:$A$358,"Done")</f>
        <v>0</v>
      </c>
      <c r="C45" s="11">
        <f>COUNTIFS(Plan!$C$2:$C$358,$A45,Plan!$A$2:$A$358,"In progress")</f>
        <v>0</v>
      </c>
      <c r="D45" s="11">
        <f>COUNTIF(Plan!$C$2:$C$358,$A45)</f>
        <v>19</v>
      </c>
      <c r="E45" s="12">
        <f t="shared" si="2"/>
        <v>0</v>
      </c>
    </row>
    <row r="46" spans="1:5" ht="15" customHeight="1" x14ac:dyDescent="0.55000000000000004">
      <c r="A46" s="10">
        <v>17</v>
      </c>
      <c r="B46" s="11">
        <f>COUNTIFS(Plan!$C$2:$C$358,$A46,Plan!$A$2:$A$358,"Done")</f>
        <v>0</v>
      </c>
      <c r="C46" s="11">
        <f>COUNTIFS(Plan!$C$2:$C$358,$A46,Plan!$A$2:$A$358,"In progress")</f>
        <v>0</v>
      </c>
      <c r="D46" s="11">
        <f>COUNTIF(Plan!$C$2:$C$358,$A46)</f>
        <v>13</v>
      </c>
      <c r="E46" s="12">
        <f t="shared" si="2"/>
        <v>0</v>
      </c>
    </row>
    <row r="47" spans="1:5" ht="15" customHeight="1" x14ac:dyDescent="0.55000000000000004">
      <c r="A47" s="10">
        <v>18</v>
      </c>
      <c r="B47" s="11">
        <f>COUNTIFS(Plan!$C$2:$C$358,$A47,Plan!$A$2:$A$358,"Done")</f>
        <v>0</v>
      </c>
      <c r="C47" s="11">
        <f>COUNTIFS(Plan!$C$2:$C$358,$A47,Plan!$A$2:$A$358,"In progress")</f>
        <v>0</v>
      </c>
      <c r="D47" s="11">
        <f>COUNTIF(Plan!$C$2:$C$358,$A47)</f>
        <v>12</v>
      </c>
      <c r="E47" s="12">
        <f t="shared" si="2"/>
        <v>0</v>
      </c>
    </row>
    <row r="48" spans="1:5" ht="15" customHeight="1" x14ac:dyDescent="0.55000000000000004">
      <c r="A48" s="10">
        <v>19</v>
      </c>
      <c r="B48" s="11">
        <f>COUNTIFS(Plan!$C$2:$C$358,$A48,Plan!$A$2:$A$358,"Done")</f>
        <v>0</v>
      </c>
      <c r="C48" s="11">
        <f>COUNTIFS(Plan!$C$2:$C$358,$A48,Plan!$A$2:$A$358,"In progress")</f>
        <v>0</v>
      </c>
      <c r="D48" s="11">
        <f>COUNTIF(Plan!$C$2:$C$358,$A48)</f>
        <v>21</v>
      </c>
      <c r="E48" s="12">
        <f t="shared" si="2"/>
        <v>0</v>
      </c>
    </row>
    <row r="49" spans="1:5" ht="15" customHeight="1" x14ac:dyDescent="0.55000000000000004">
      <c r="A49" s="10">
        <v>20</v>
      </c>
      <c r="B49" s="11">
        <f>COUNTIFS(Plan!$C$2:$C$358,$A49,Plan!$A$2:$A$358,"Done")</f>
        <v>0</v>
      </c>
      <c r="C49" s="11">
        <f>COUNTIFS(Plan!$C$2:$C$358,$A49,Plan!$A$2:$A$358,"In progress")</f>
        <v>0</v>
      </c>
      <c r="D49" s="11">
        <f>COUNTIF(Plan!$C$2:$C$358,$A49)</f>
        <v>13</v>
      </c>
      <c r="E49" s="12">
        <f t="shared" si="2"/>
        <v>0</v>
      </c>
    </row>
    <row r="50" spans="1:5" ht="15" customHeight="1" x14ac:dyDescent="0.55000000000000004">
      <c r="A50" s="10">
        <v>21</v>
      </c>
      <c r="B50" s="11">
        <f>COUNTIFS(Plan!$C$2:$C$358,$A50,Plan!$A$2:$A$358,"Done")</f>
        <v>0</v>
      </c>
      <c r="C50" s="11">
        <f>COUNTIFS(Plan!$C$2:$C$358,$A50,Plan!$A$2:$A$358,"In progress")</f>
        <v>0</v>
      </c>
      <c r="D50" s="11">
        <f>COUNTIF(Plan!$C$2:$C$358,$A50)</f>
        <v>5</v>
      </c>
      <c r="E50" s="12">
        <f t="shared" si="2"/>
        <v>0</v>
      </c>
    </row>
    <row r="51" spans="1:5" ht="15" customHeight="1" x14ac:dyDescent="0.55000000000000004">
      <c r="A51" s="10">
        <v>22</v>
      </c>
      <c r="B51" s="11">
        <f>COUNTIFS(Plan!$C$2:$C$358,$A51,Plan!$A$2:$A$358,"Done")</f>
        <v>0</v>
      </c>
      <c r="C51" s="11">
        <f>COUNTIFS(Plan!$C$2:$C$358,$A51,Plan!$A$2:$A$358,"In progress")</f>
        <v>0</v>
      </c>
      <c r="D51" s="11">
        <f>COUNTIF(Plan!$C$2:$C$358,$A51)</f>
        <v>4</v>
      </c>
      <c r="E51" s="12">
        <f t="shared" si="2"/>
        <v>0</v>
      </c>
    </row>
    <row r="52" spans="1:5" ht="15" customHeight="1" x14ac:dyDescent="0.55000000000000004">
      <c r="A52" s="10">
        <v>23</v>
      </c>
      <c r="B52" s="11">
        <f>COUNTIFS(Plan!$C$2:$C$358,$A52,Plan!$A$2:$A$358,"Done")</f>
        <v>0</v>
      </c>
      <c r="C52" s="11">
        <f>COUNTIFS(Plan!$C$2:$C$358,$A52,Plan!$A$2:$A$358,"In progress")</f>
        <v>0</v>
      </c>
      <c r="D52" s="11">
        <f>COUNTIF(Plan!$C$2:$C$358,$A52)</f>
        <v>5</v>
      </c>
      <c r="E52" s="12">
        <f t="shared" si="2"/>
        <v>0</v>
      </c>
    </row>
    <row r="53" spans="1:5" x14ac:dyDescent="0.55000000000000004">
      <c r="A53" s="10">
        <v>24</v>
      </c>
      <c r="B53" s="11">
        <f>COUNTIFS(Plan!$C$2:$C$358,$A53,Plan!$A$2:$A$358,"Done")</f>
        <v>0</v>
      </c>
      <c r="C53" s="11">
        <f>COUNTIFS(Plan!$C$2:$C$358,$A53,Plan!$A$2:$A$358,"In progress")</f>
        <v>0</v>
      </c>
      <c r="D53" s="11">
        <f>COUNTIF(Plan!$C$2:$C$358,$A53)</f>
        <v>4</v>
      </c>
      <c r="E53" s="12">
        <f t="shared" si="2"/>
        <v>0</v>
      </c>
    </row>
    <row r="54" spans="1:5" x14ac:dyDescent="0.55000000000000004">
      <c r="A54" s="10">
        <v>25</v>
      </c>
      <c r="B54" s="11">
        <f>COUNTIFS(Plan!$C$2:$C$358,$A54,Plan!$A$2:$A$358,"Done")</f>
        <v>0</v>
      </c>
      <c r="C54" s="11">
        <f>COUNTIFS(Plan!$C$2:$C$358,$A54,Plan!$A$2:$A$358,"In progress")</f>
        <v>0</v>
      </c>
      <c r="D54" s="11">
        <f>COUNTIF(Plan!$C$2:$C$358,$A54)</f>
        <v>2</v>
      </c>
      <c r="E54" s="12">
        <f t="shared" si="2"/>
        <v>0</v>
      </c>
    </row>
    <row r="55" spans="1:5" x14ac:dyDescent="0.55000000000000004">
      <c r="A55" s="10">
        <v>26</v>
      </c>
      <c r="B55" s="11">
        <f>COUNTIFS(Plan!$C$2:$C$358,$A55,Plan!$A$2:$A$358,"Done")</f>
        <v>0</v>
      </c>
      <c r="C55" s="11">
        <f>COUNTIFS(Plan!$C$2:$C$358,$A55,Plan!$A$2:$A$358,"In progress")</f>
        <v>0</v>
      </c>
      <c r="D55" s="11">
        <f>COUNTIF(Plan!$C$2:$C$358,$A55)</f>
        <v>2</v>
      </c>
      <c r="E55" s="12">
        <f t="shared" si="2"/>
        <v>0</v>
      </c>
    </row>
  </sheetData>
  <conditionalFormatting sqref="E7:E12">
    <cfRule type="dataBar" priority="1">
      <dataBar>
        <cfvo type="num" val="0"/>
        <cfvo type="num" val="1"/>
        <color rgb="FF63BE7B"/>
      </dataBar>
    </cfRule>
  </conditionalFormatting>
  <conditionalFormatting sqref="E16:E26">
    <cfRule type="dataBar" priority="2">
      <dataBar>
        <cfvo type="num" val="0"/>
        <cfvo type="num" val="1"/>
        <color rgb="FF63BE7B"/>
      </dataBar>
    </cfRule>
  </conditionalFormatting>
  <conditionalFormatting sqref="E30:E55">
    <cfRule type="dataBar" priority="3">
      <dataBar>
        <cfvo type="num" val="0"/>
        <cfvo type="num" val="1"/>
        <color rgb="FF63BE7B"/>
      </dataBar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8"/>
  <sheetViews>
    <sheetView tabSelected="1" zoomScale="130" zoomScaleNormal="130" workbookViewId="0">
      <pane ySplit="1" topLeftCell="A2" activePane="bottomLeft" state="frozen"/>
      <selection pane="bottomLeft" activeCell="A3" sqref="A3"/>
    </sheetView>
  </sheetViews>
  <sheetFormatPr defaultColWidth="8.62890625" defaultRowHeight="14.4" x14ac:dyDescent="0.55000000000000004"/>
  <cols>
    <col min="1" max="1" width="14" customWidth="1"/>
    <col min="2" max="3" width="8" customWidth="1"/>
    <col min="4" max="4" width="18" customWidth="1"/>
    <col min="5" max="5" width="79.1015625" customWidth="1"/>
    <col min="6" max="6" width="14" customWidth="1"/>
    <col min="7" max="7" width="40" customWidth="1"/>
  </cols>
  <sheetData>
    <row r="1" spans="1:7" x14ac:dyDescent="0.5500000000000000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 ht="41.05" customHeight="1" x14ac:dyDescent="0.55000000000000004">
      <c r="A2" s="21"/>
      <c r="B2" s="21"/>
      <c r="C2" s="21"/>
      <c r="D2" s="22" t="s">
        <v>7</v>
      </c>
      <c r="E2" s="23" t="s">
        <v>8</v>
      </c>
      <c r="F2" s="24"/>
      <c r="G2" s="25"/>
    </row>
    <row r="3" spans="1:7" x14ac:dyDescent="0.55000000000000004">
      <c r="A3" s="14" t="s">
        <v>385</v>
      </c>
      <c r="B3" s="14">
        <v>1</v>
      </c>
      <c r="C3" s="14">
        <v>1</v>
      </c>
      <c r="D3" s="15" t="s">
        <v>10</v>
      </c>
      <c r="E3" s="16" t="s">
        <v>11</v>
      </c>
      <c r="F3" s="17" t="s">
        <v>12</v>
      </c>
      <c r="G3" s="16"/>
    </row>
    <row r="4" spans="1:7" x14ac:dyDescent="0.55000000000000004">
      <c r="A4" s="14" t="s">
        <v>9</v>
      </c>
      <c r="B4" s="14">
        <v>1</v>
      </c>
      <c r="C4" s="14">
        <v>1</v>
      </c>
      <c r="D4" s="15" t="s">
        <v>10</v>
      </c>
      <c r="E4" s="16" t="s">
        <v>13</v>
      </c>
      <c r="F4" s="17" t="s">
        <v>12</v>
      </c>
      <c r="G4" s="16"/>
    </row>
    <row r="5" spans="1:7" x14ac:dyDescent="0.55000000000000004">
      <c r="A5" s="14" t="s">
        <v>9</v>
      </c>
      <c r="B5" s="14">
        <v>1</v>
      </c>
      <c r="C5" s="14">
        <v>1</v>
      </c>
      <c r="D5" s="15" t="s">
        <v>10</v>
      </c>
      <c r="E5" s="16" t="s">
        <v>14</v>
      </c>
      <c r="F5" s="17" t="s">
        <v>12</v>
      </c>
      <c r="G5" s="16"/>
    </row>
    <row r="6" spans="1:7" x14ac:dyDescent="0.55000000000000004">
      <c r="A6" s="14" t="s">
        <v>9</v>
      </c>
      <c r="B6" s="14">
        <v>1</v>
      </c>
      <c r="C6" s="14">
        <v>1</v>
      </c>
      <c r="D6" s="15" t="s">
        <v>10</v>
      </c>
      <c r="E6" s="16" t="s">
        <v>15</v>
      </c>
      <c r="F6" s="17" t="s">
        <v>12</v>
      </c>
      <c r="G6" s="16"/>
    </row>
    <row r="7" spans="1:7" x14ac:dyDescent="0.55000000000000004">
      <c r="A7" s="14" t="s">
        <v>9</v>
      </c>
      <c r="B7" s="14">
        <v>1</v>
      </c>
      <c r="C7" s="14">
        <v>1</v>
      </c>
      <c r="D7" s="15" t="s">
        <v>10</v>
      </c>
      <c r="E7" s="16" t="s">
        <v>16</v>
      </c>
      <c r="F7" s="17" t="s">
        <v>12</v>
      </c>
      <c r="G7" s="16"/>
    </row>
    <row r="8" spans="1:7" x14ac:dyDescent="0.55000000000000004">
      <c r="A8" s="14" t="s">
        <v>9</v>
      </c>
      <c r="B8" s="14">
        <v>1</v>
      </c>
      <c r="C8" s="14">
        <v>1</v>
      </c>
      <c r="D8" s="15" t="s">
        <v>10</v>
      </c>
      <c r="E8" s="16" t="s">
        <v>17</v>
      </c>
      <c r="F8" s="17" t="s">
        <v>12</v>
      </c>
      <c r="G8" s="16"/>
    </row>
    <row r="9" spans="1:7" x14ac:dyDescent="0.55000000000000004">
      <c r="A9" s="14" t="s">
        <v>9</v>
      </c>
      <c r="B9" s="14">
        <v>1</v>
      </c>
      <c r="C9" s="14">
        <v>1</v>
      </c>
      <c r="D9" s="15" t="s">
        <v>10</v>
      </c>
      <c r="E9" s="16" t="s">
        <v>18</v>
      </c>
      <c r="F9" s="17" t="s">
        <v>12</v>
      </c>
      <c r="G9" s="16"/>
    </row>
    <row r="10" spans="1:7" ht="25" customHeight="1" x14ac:dyDescent="0.55000000000000004">
      <c r="A10" s="14" t="s">
        <v>9</v>
      </c>
      <c r="B10" s="14">
        <v>1</v>
      </c>
      <c r="C10" s="14">
        <v>1</v>
      </c>
      <c r="D10" s="15" t="s">
        <v>10</v>
      </c>
      <c r="E10" s="16" t="s">
        <v>19</v>
      </c>
      <c r="F10" s="14"/>
      <c r="G10" s="16"/>
    </row>
    <row r="11" spans="1:7" x14ac:dyDescent="0.55000000000000004">
      <c r="A11" s="14" t="s">
        <v>9</v>
      </c>
      <c r="B11" s="14">
        <v>1</v>
      </c>
      <c r="C11" s="14">
        <v>1</v>
      </c>
      <c r="D11" s="15" t="s">
        <v>20</v>
      </c>
      <c r="E11" s="16" t="s">
        <v>21</v>
      </c>
      <c r="F11" s="14"/>
      <c r="G11" s="16"/>
    </row>
    <row r="12" spans="1:7" x14ac:dyDescent="0.55000000000000004">
      <c r="A12" s="14" t="s">
        <v>9</v>
      </c>
      <c r="B12" s="14">
        <v>1</v>
      </c>
      <c r="C12" s="14">
        <v>1</v>
      </c>
      <c r="D12" s="15" t="s">
        <v>22</v>
      </c>
      <c r="E12" s="16" t="s">
        <v>23</v>
      </c>
      <c r="F12" s="14"/>
      <c r="G12" s="16"/>
    </row>
    <row r="13" spans="1:7" x14ac:dyDescent="0.55000000000000004">
      <c r="A13" s="14" t="s">
        <v>9</v>
      </c>
      <c r="B13" s="14">
        <v>1</v>
      </c>
      <c r="C13" s="14">
        <v>1</v>
      </c>
      <c r="D13" s="15" t="s">
        <v>24</v>
      </c>
      <c r="E13" s="16" t="s">
        <v>25</v>
      </c>
      <c r="F13" s="17" t="s">
        <v>26</v>
      </c>
      <c r="G13" s="16"/>
    </row>
    <row r="14" spans="1:7" ht="25" customHeight="1" x14ac:dyDescent="0.55000000000000004">
      <c r="A14" s="14" t="s">
        <v>9</v>
      </c>
      <c r="B14" s="14">
        <v>1</v>
      </c>
      <c r="C14" s="14">
        <v>1</v>
      </c>
      <c r="D14" s="15" t="s">
        <v>27</v>
      </c>
      <c r="E14" s="16" t="s">
        <v>28</v>
      </c>
      <c r="F14" s="14"/>
      <c r="G14" s="16"/>
    </row>
    <row r="15" spans="1:7" ht="25" customHeight="1" x14ac:dyDescent="0.55000000000000004">
      <c r="A15" s="14" t="s">
        <v>9</v>
      </c>
      <c r="B15" s="14">
        <v>1</v>
      </c>
      <c r="C15" s="14">
        <v>1</v>
      </c>
      <c r="D15" s="15" t="s">
        <v>29</v>
      </c>
      <c r="E15" s="16" t="s">
        <v>30</v>
      </c>
      <c r="F15" s="14"/>
      <c r="G15" s="16"/>
    </row>
    <row r="16" spans="1:7" x14ac:dyDescent="0.55000000000000004">
      <c r="A16" s="14" t="s">
        <v>9</v>
      </c>
      <c r="B16" s="14">
        <v>1</v>
      </c>
      <c r="C16" s="14">
        <v>1</v>
      </c>
      <c r="D16" s="15" t="s">
        <v>31</v>
      </c>
      <c r="E16" s="16" t="s">
        <v>32</v>
      </c>
      <c r="F16" s="14"/>
      <c r="G16" s="16"/>
    </row>
    <row r="17" spans="1:7" x14ac:dyDescent="0.55000000000000004">
      <c r="A17" s="14" t="s">
        <v>9</v>
      </c>
      <c r="B17" s="14">
        <v>1</v>
      </c>
      <c r="C17" s="14">
        <v>1</v>
      </c>
      <c r="D17" s="15" t="s">
        <v>33</v>
      </c>
      <c r="E17" s="16" t="s">
        <v>34</v>
      </c>
      <c r="F17" s="14"/>
      <c r="G17" s="16"/>
    </row>
    <row r="18" spans="1:7" ht="42" customHeight="1" x14ac:dyDescent="0.55000000000000004">
      <c r="A18" s="21"/>
      <c r="B18" s="21"/>
      <c r="C18" s="21"/>
      <c r="D18" s="22" t="s">
        <v>35</v>
      </c>
      <c r="E18" s="23" t="s">
        <v>36</v>
      </c>
      <c r="F18" s="24"/>
      <c r="G18" s="25"/>
    </row>
    <row r="19" spans="1:7" x14ac:dyDescent="0.55000000000000004">
      <c r="A19" s="14" t="s">
        <v>9</v>
      </c>
      <c r="B19" s="14">
        <v>1</v>
      </c>
      <c r="C19" s="14">
        <v>2</v>
      </c>
      <c r="D19" s="15" t="s">
        <v>10</v>
      </c>
      <c r="E19" s="16" t="s">
        <v>37</v>
      </c>
      <c r="F19" s="17" t="s">
        <v>12</v>
      </c>
      <c r="G19" s="16"/>
    </row>
    <row r="20" spans="1:7" x14ac:dyDescent="0.55000000000000004">
      <c r="A20" s="14" t="s">
        <v>9</v>
      </c>
      <c r="B20" s="14">
        <v>1</v>
      </c>
      <c r="C20" s="14">
        <v>2</v>
      </c>
      <c r="D20" s="15" t="s">
        <v>10</v>
      </c>
      <c r="E20" s="16" t="s">
        <v>38</v>
      </c>
      <c r="F20" s="17" t="s">
        <v>12</v>
      </c>
      <c r="G20" s="16"/>
    </row>
    <row r="21" spans="1:7" x14ac:dyDescent="0.55000000000000004">
      <c r="A21" s="14" t="s">
        <v>9</v>
      </c>
      <c r="B21" s="14">
        <v>1</v>
      </c>
      <c r="C21" s="14">
        <v>2</v>
      </c>
      <c r="D21" s="15" t="s">
        <v>10</v>
      </c>
      <c r="E21" s="16" t="s">
        <v>39</v>
      </c>
      <c r="F21" s="17" t="s">
        <v>12</v>
      </c>
      <c r="G21" s="16"/>
    </row>
    <row r="22" spans="1:7" x14ac:dyDescent="0.55000000000000004">
      <c r="A22" s="14" t="s">
        <v>9</v>
      </c>
      <c r="B22" s="14">
        <v>1</v>
      </c>
      <c r="C22" s="14">
        <v>2</v>
      </c>
      <c r="D22" s="15" t="s">
        <v>10</v>
      </c>
      <c r="E22" s="16" t="s">
        <v>40</v>
      </c>
      <c r="F22" s="17" t="s">
        <v>12</v>
      </c>
      <c r="G22" s="16"/>
    </row>
    <row r="23" spans="1:7" x14ac:dyDescent="0.55000000000000004">
      <c r="A23" s="14" t="s">
        <v>9</v>
      </c>
      <c r="B23" s="14">
        <v>1</v>
      </c>
      <c r="C23" s="14">
        <v>2</v>
      </c>
      <c r="D23" s="15" t="s">
        <v>10</v>
      </c>
      <c r="E23" s="16" t="s">
        <v>41</v>
      </c>
      <c r="F23" s="17" t="s">
        <v>12</v>
      </c>
      <c r="G23" s="16"/>
    </row>
    <row r="24" spans="1:7" x14ac:dyDescent="0.55000000000000004">
      <c r="A24" s="14" t="s">
        <v>9</v>
      </c>
      <c r="B24" s="14">
        <v>1</v>
      </c>
      <c r="C24" s="14">
        <v>2</v>
      </c>
      <c r="D24" s="15" t="s">
        <v>20</v>
      </c>
      <c r="E24" s="16" t="s">
        <v>42</v>
      </c>
      <c r="F24" s="14"/>
      <c r="G24" s="16"/>
    </row>
    <row r="25" spans="1:7" x14ac:dyDescent="0.55000000000000004">
      <c r="A25" s="14" t="s">
        <v>9</v>
      </c>
      <c r="B25" s="14">
        <v>1</v>
      </c>
      <c r="C25" s="14">
        <v>2</v>
      </c>
      <c r="D25" s="15" t="s">
        <v>22</v>
      </c>
      <c r="E25" s="16" t="s">
        <v>43</v>
      </c>
      <c r="F25" s="14"/>
      <c r="G25" s="16"/>
    </row>
    <row r="26" spans="1:7" ht="25" customHeight="1" x14ac:dyDescent="0.55000000000000004">
      <c r="A26" s="14" t="s">
        <v>9</v>
      </c>
      <c r="B26" s="14">
        <v>1</v>
      </c>
      <c r="C26" s="14">
        <v>2</v>
      </c>
      <c r="D26" s="15" t="s">
        <v>24</v>
      </c>
      <c r="E26" s="16" t="s">
        <v>44</v>
      </c>
      <c r="F26" s="17" t="s">
        <v>26</v>
      </c>
      <c r="G26" s="20" t="s">
        <v>45</v>
      </c>
    </row>
    <row r="27" spans="1:7" ht="25" customHeight="1" x14ac:dyDescent="0.55000000000000004">
      <c r="A27" s="14" t="s">
        <v>9</v>
      </c>
      <c r="B27" s="14">
        <v>1</v>
      </c>
      <c r="C27" s="14">
        <v>2</v>
      </c>
      <c r="D27" s="15" t="s">
        <v>27</v>
      </c>
      <c r="E27" s="16" t="s">
        <v>46</v>
      </c>
      <c r="F27" s="14"/>
      <c r="G27" s="16"/>
    </row>
    <row r="28" spans="1:7" x14ac:dyDescent="0.55000000000000004">
      <c r="A28" s="14" t="s">
        <v>9</v>
      </c>
      <c r="B28" s="14">
        <v>1</v>
      </c>
      <c r="C28" s="14">
        <v>2</v>
      </c>
      <c r="D28" s="15" t="s">
        <v>29</v>
      </c>
      <c r="E28" s="16" t="s">
        <v>47</v>
      </c>
      <c r="F28" s="14"/>
      <c r="G28" s="16"/>
    </row>
    <row r="29" spans="1:7" x14ac:dyDescent="0.55000000000000004">
      <c r="A29" s="14" t="s">
        <v>9</v>
      </c>
      <c r="B29" s="14">
        <v>1</v>
      </c>
      <c r="C29" s="14">
        <v>2</v>
      </c>
      <c r="D29" s="15" t="s">
        <v>31</v>
      </c>
      <c r="E29" s="16" t="s">
        <v>32</v>
      </c>
      <c r="F29" s="14"/>
      <c r="G29" s="16"/>
    </row>
    <row r="30" spans="1:7" x14ac:dyDescent="0.55000000000000004">
      <c r="A30" s="14" t="s">
        <v>9</v>
      </c>
      <c r="B30" s="14">
        <v>1</v>
      </c>
      <c r="C30" s="14">
        <v>2</v>
      </c>
      <c r="D30" s="15" t="s">
        <v>33</v>
      </c>
      <c r="E30" s="16" t="s">
        <v>48</v>
      </c>
      <c r="F30" s="14"/>
      <c r="G30" s="16"/>
    </row>
    <row r="31" spans="1:7" ht="42" customHeight="1" x14ac:dyDescent="0.55000000000000004">
      <c r="A31" s="21"/>
      <c r="B31" s="21"/>
      <c r="C31" s="21"/>
      <c r="D31" s="22" t="s">
        <v>49</v>
      </c>
      <c r="E31" s="23" t="s">
        <v>50</v>
      </c>
      <c r="F31" s="24"/>
      <c r="G31" s="25"/>
    </row>
    <row r="32" spans="1:7" x14ac:dyDescent="0.55000000000000004">
      <c r="A32" s="14" t="s">
        <v>9</v>
      </c>
      <c r="B32" s="14">
        <v>1</v>
      </c>
      <c r="C32" s="14">
        <v>3</v>
      </c>
      <c r="D32" s="15" t="s">
        <v>10</v>
      </c>
      <c r="E32" s="16" t="s">
        <v>51</v>
      </c>
      <c r="F32" s="17" t="s">
        <v>12</v>
      </c>
      <c r="G32" s="16"/>
    </row>
    <row r="33" spans="1:7" x14ac:dyDescent="0.55000000000000004">
      <c r="A33" s="14" t="s">
        <v>9</v>
      </c>
      <c r="B33" s="14">
        <v>1</v>
      </c>
      <c r="C33" s="14">
        <v>3</v>
      </c>
      <c r="D33" s="15" t="s">
        <v>10</v>
      </c>
      <c r="E33" s="16" t="s">
        <v>52</v>
      </c>
      <c r="F33" s="17" t="s">
        <v>12</v>
      </c>
      <c r="G33" s="16"/>
    </row>
    <row r="34" spans="1:7" x14ac:dyDescent="0.55000000000000004">
      <c r="A34" s="14" t="s">
        <v>9</v>
      </c>
      <c r="B34" s="14">
        <v>1</v>
      </c>
      <c r="C34" s="14">
        <v>3</v>
      </c>
      <c r="D34" s="15" t="s">
        <v>10</v>
      </c>
      <c r="E34" s="16" t="s">
        <v>53</v>
      </c>
      <c r="F34" s="17" t="s">
        <v>12</v>
      </c>
      <c r="G34" s="16"/>
    </row>
    <row r="35" spans="1:7" x14ac:dyDescent="0.55000000000000004">
      <c r="A35" s="14" t="s">
        <v>9</v>
      </c>
      <c r="B35" s="14">
        <v>1</v>
      </c>
      <c r="C35" s="14">
        <v>3</v>
      </c>
      <c r="D35" s="15" t="s">
        <v>10</v>
      </c>
      <c r="E35" s="16" t="s">
        <v>54</v>
      </c>
      <c r="F35" s="17" t="s">
        <v>12</v>
      </c>
      <c r="G35" s="16"/>
    </row>
    <row r="36" spans="1:7" x14ac:dyDescent="0.55000000000000004">
      <c r="A36" s="14" t="s">
        <v>9</v>
      </c>
      <c r="B36" s="14">
        <v>1</v>
      </c>
      <c r="C36" s="14">
        <v>3</v>
      </c>
      <c r="D36" s="15" t="s">
        <v>10</v>
      </c>
      <c r="E36" s="16" t="s">
        <v>55</v>
      </c>
      <c r="F36" s="17" t="s">
        <v>12</v>
      </c>
      <c r="G36" s="16"/>
    </row>
    <row r="37" spans="1:7" x14ac:dyDescent="0.55000000000000004">
      <c r="A37" s="14" t="s">
        <v>9</v>
      </c>
      <c r="B37" s="14">
        <v>1</v>
      </c>
      <c r="C37" s="14">
        <v>3</v>
      </c>
      <c r="D37" s="15" t="s">
        <v>20</v>
      </c>
      <c r="E37" s="16" t="s">
        <v>56</v>
      </c>
      <c r="F37" s="14"/>
      <c r="G37" s="16"/>
    </row>
    <row r="38" spans="1:7" x14ac:dyDescent="0.55000000000000004">
      <c r="A38" s="14" t="s">
        <v>9</v>
      </c>
      <c r="B38" s="14">
        <v>1</v>
      </c>
      <c r="C38" s="14">
        <v>3</v>
      </c>
      <c r="D38" s="15" t="s">
        <v>22</v>
      </c>
      <c r="E38" s="16" t="s">
        <v>57</v>
      </c>
      <c r="F38" s="14"/>
      <c r="G38" s="16"/>
    </row>
    <row r="39" spans="1:7" ht="25" customHeight="1" x14ac:dyDescent="0.55000000000000004">
      <c r="A39" s="14" t="s">
        <v>9</v>
      </c>
      <c r="B39" s="14">
        <v>1</v>
      </c>
      <c r="C39" s="14">
        <v>3</v>
      </c>
      <c r="D39" s="15" t="s">
        <v>24</v>
      </c>
      <c r="E39" s="16" t="s">
        <v>58</v>
      </c>
      <c r="F39" s="17" t="s">
        <v>26</v>
      </c>
      <c r="G39" s="20" t="s">
        <v>59</v>
      </c>
    </row>
    <row r="40" spans="1:7" x14ac:dyDescent="0.55000000000000004">
      <c r="A40" s="14" t="s">
        <v>9</v>
      </c>
      <c r="B40" s="14">
        <v>1</v>
      </c>
      <c r="C40" s="14">
        <v>3</v>
      </c>
      <c r="D40" s="15" t="s">
        <v>27</v>
      </c>
      <c r="E40" s="16" t="s">
        <v>60</v>
      </c>
      <c r="F40" s="14"/>
      <c r="G40" s="16"/>
    </row>
    <row r="41" spans="1:7" x14ac:dyDescent="0.55000000000000004">
      <c r="A41" s="14" t="s">
        <v>9</v>
      </c>
      <c r="B41" s="14">
        <v>1</v>
      </c>
      <c r="C41" s="14">
        <v>3</v>
      </c>
      <c r="D41" s="15" t="s">
        <v>29</v>
      </c>
      <c r="E41" s="16" t="s">
        <v>61</v>
      </c>
      <c r="F41" s="14"/>
      <c r="G41" s="16"/>
    </row>
    <row r="42" spans="1:7" x14ac:dyDescent="0.55000000000000004">
      <c r="A42" s="14" t="s">
        <v>9</v>
      </c>
      <c r="B42" s="14">
        <v>1</v>
      </c>
      <c r="C42" s="14">
        <v>3</v>
      </c>
      <c r="D42" s="15" t="s">
        <v>31</v>
      </c>
      <c r="E42" s="16" t="s">
        <v>32</v>
      </c>
      <c r="F42" s="14"/>
      <c r="G42" s="16"/>
    </row>
    <row r="43" spans="1:7" x14ac:dyDescent="0.55000000000000004">
      <c r="A43" s="14" t="s">
        <v>9</v>
      </c>
      <c r="B43" s="14">
        <v>1</v>
      </c>
      <c r="C43" s="14">
        <v>3</v>
      </c>
      <c r="D43" s="15" t="s">
        <v>33</v>
      </c>
      <c r="E43" s="16" t="s">
        <v>62</v>
      </c>
      <c r="F43" s="14"/>
      <c r="G43" s="16"/>
    </row>
    <row r="44" spans="1:7" ht="43" customHeight="1" x14ac:dyDescent="0.55000000000000004">
      <c r="A44" s="21"/>
      <c r="B44" s="21"/>
      <c r="C44" s="21"/>
      <c r="D44" s="22" t="s">
        <v>63</v>
      </c>
      <c r="E44" s="23" t="s">
        <v>64</v>
      </c>
      <c r="F44" s="24"/>
      <c r="G44" s="25"/>
    </row>
    <row r="45" spans="1:7" x14ac:dyDescent="0.55000000000000004">
      <c r="A45" s="14" t="s">
        <v>9</v>
      </c>
      <c r="B45" s="14">
        <v>1</v>
      </c>
      <c r="C45" s="14">
        <v>4</v>
      </c>
      <c r="D45" s="15" t="s">
        <v>10</v>
      </c>
      <c r="E45" s="16" t="s">
        <v>65</v>
      </c>
      <c r="F45" s="17" t="s">
        <v>12</v>
      </c>
      <c r="G45" s="16"/>
    </row>
    <row r="46" spans="1:7" x14ac:dyDescent="0.55000000000000004">
      <c r="A46" s="14" t="s">
        <v>9</v>
      </c>
      <c r="B46" s="14">
        <v>1</v>
      </c>
      <c r="C46" s="14">
        <v>4</v>
      </c>
      <c r="D46" s="15" t="s">
        <v>10</v>
      </c>
      <c r="E46" s="16" t="s">
        <v>66</v>
      </c>
      <c r="F46" s="17" t="s">
        <v>12</v>
      </c>
      <c r="G46" s="16"/>
    </row>
    <row r="47" spans="1:7" x14ac:dyDescent="0.55000000000000004">
      <c r="A47" s="14" t="s">
        <v>9</v>
      </c>
      <c r="B47" s="14">
        <v>1</v>
      </c>
      <c r="C47" s="14">
        <v>4</v>
      </c>
      <c r="D47" s="15" t="s">
        <v>10</v>
      </c>
      <c r="E47" s="16" t="s">
        <v>67</v>
      </c>
      <c r="F47" s="17" t="s">
        <v>12</v>
      </c>
      <c r="G47" s="16"/>
    </row>
    <row r="48" spans="1:7" x14ac:dyDescent="0.55000000000000004">
      <c r="A48" s="14" t="s">
        <v>9</v>
      </c>
      <c r="B48" s="14">
        <v>1</v>
      </c>
      <c r="C48" s="14">
        <v>4</v>
      </c>
      <c r="D48" s="15" t="s">
        <v>10</v>
      </c>
      <c r="E48" s="16" t="s">
        <v>68</v>
      </c>
      <c r="F48" s="17" t="s">
        <v>12</v>
      </c>
      <c r="G48" s="16"/>
    </row>
    <row r="49" spans="1:7" x14ac:dyDescent="0.55000000000000004">
      <c r="A49" s="14" t="s">
        <v>9</v>
      </c>
      <c r="B49" s="14">
        <v>1</v>
      </c>
      <c r="C49" s="14">
        <v>4</v>
      </c>
      <c r="D49" s="15" t="s">
        <v>10</v>
      </c>
      <c r="E49" s="16" t="s">
        <v>69</v>
      </c>
      <c r="F49" s="17" t="s">
        <v>12</v>
      </c>
      <c r="G49" s="16"/>
    </row>
    <row r="50" spans="1:7" x14ac:dyDescent="0.55000000000000004">
      <c r="A50" s="14" t="s">
        <v>9</v>
      </c>
      <c r="B50" s="14">
        <v>1</v>
      </c>
      <c r="C50" s="14">
        <v>4</v>
      </c>
      <c r="D50" s="15" t="s">
        <v>10</v>
      </c>
      <c r="E50" s="16" t="s">
        <v>70</v>
      </c>
      <c r="F50" s="17" t="s">
        <v>12</v>
      </c>
      <c r="G50" s="16"/>
    </row>
    <row r="51" spans="1:7" x14ac:dyDescent="0.55000000000000004">
      <c r="A51" s="14" t="s">
        <v>9</v>
      </c>
      <c r="B51" s="14">
        <v>1</v>
      </c>
      <c r="C51" s="14">
        <v>4</v>
      </c>
      <c r="D51" s="15" t="s">
        <v>20</v>
      </c>
      <c r="E51" s="16" t="s">
        <v>71</v>
      </c>
      <c r="F51" s="14"/>
      <c r="G51" s="16"/>
    </row>
    <row r="52" spans="1:7" x14ac:dyDescent="0.55000000000000004">
      <c r="A52" s="14" t="s">
        <v>9</v>
      </c>
      <c r="B52" s="14">
        <v>1</v>
      </c>
      <c r="C52" s="14">
        <v>4</v>
      </c>
      <c r="D52" s="15" t="s">
        <v>20</v>
      </c>
      <c r="E52" s="16" t="s">
        <v>72</v>
      </c>
      <c r="F52" s="14"/>
      <c r="G52" s="16"/>
    </row>
    <row r="53" spans="1:7" ht="25" customHeight="1" x14ac:dyDescent="0.55000000000000004">
      <c r="A53" s="14" t="s">
        <v>9</v>
      </c>
      <c r="B53" s="14">
        <v>1</v>
      </c>
      <c r="C53" s="14">
        <v>4</v>
      </c>
      <c r="D53" s="15" t="s">
        <v>22</v>
      </c>
      <c r="E53" s="16" t="s">
        <v>73</v>
      </c>
      <c r="F53" s="14"/>
      <c r="G53" s="16"/>
    </row>
    <row r="54" spans="1:7" ht="25" customHeight="1" x14ac:dyDescent="0.55000000000000004">
      <c r="A54" s="14" t="s">
        <v>9</v>
      </c>
      <c r="B54" s="14">
        <v>1</v>
      </c>
      <c r="C54" s="14">
        <v>4</v>
      </c>
      <c r="D54" s="15" t="s">
        <v>24</v>
      </c>
      <c r="E54" s="16" t="s">
        <v>74</v>
      </c>
      <c r="F54" s="17" t="s">
        <v>26</v>
      </c>
      <c r="G54" s="20" t="s">
        <v>75</v>
      </c>
    </row>
    <row r="55" spans="1:7" ht="25" customHeight="1" x14ac:dyDescent="0.55000000000000004">
      <c r="A55" s="14" t="s">
        <v>9</v>
      </c>
      <c r="B55" s="14">
        <v>1</v>
      </c>
      <c r="C55" s="14">
        <v>4</v>
      </c>
      <c r="D55" s="15" t="s">
        <v>27</v>
      </c>
      <c r="E55" s="16" t="s">
        <v>76</v>
      </c>
      <c r="F55" s="14"/>
      <c r="G55" s="16"/>
    </row>
    <row r="56" spans="1:7" x14ac:dyDescent="0.55000000000000004">
      <c r="A56" s="14" t="s">
        <v>9</v>
      </c>
      <c r="B56" s="14">
        <v>1</v>
      </c>
      <c r="C56" s="14">
        <v>4</v>
      </c>
      <c r="D56" s="15" t="s">
        <v>29</v>
      </c>
      <c r="E56" s="16" t="s">
        <v>77</v>
      </c>
      <c r="F56" s="14"/>
      <c r="G56" s="16"/>
    </row>
    <row r="57" spans="1:7" x14ac:dyDescent="0.55000000000000004">
      <c r="A57" s="14" t="s">
        <v>9</v>
      </c>
      <c r="B57" s="14">
        <v>1</v>
      </c>
      <c r="C57" s="14">
        <v>4</v>
      </c>
      <c r="D57" s="15" t="s">
        <v>31</v>
      </c>
      <c r="E57" s="16" t="s">
        <v>32</v>
      </c>
      <c r="F57" s="14"/>
      <c r="G57" s="16"/>
    </row>
    <row r="58" spans="1:7" x14ac:dyDescent="0.55000000000000004">
      <c r="A58" s="14" t="s">
        <v>9</v>
      </c>
      <c r="B58" s="14">
        <v>1</v>
      </c>
      <c r="C58" s="14">
        <v>4</v>
      </c>
      <c r="D58" s="15" t="s">
        <v>33</v>
      </c>
      <c r="E58" s="16" t="s">
        <v>78</v>
      </c>
      <c r="F58" s="14"/>
      <c r="G58" s="16"/>
    </row>
    <row r="59" spans="1:7" ht="54.55" customHeight="1" x14ac:dyDescent="0.55000000000000004">
      <c r="A59" s="21"/>
      <c r="B59" s="21"/>
      <c r="C59" s="21"/>
      <c r="D59" s="22" t="s">
        <v>79</v>
      </c>
      <c r="E59" s="23" t="s">
        <v>80</v>
      </c>
      <c r="F59" s="24"/>
      <c r="G59" s="25"/>
    </row>
    <row r="60" spans="1:7" x14ac:dyDescent="0.55000000000000004">
      <c r="A60" s="14" t="s">
        <v>9</v>
      </c>
      <c r="B60" s="14">
        <v>2</v>
      </c>
      <c r="C60" s="14">
        <v>5</v>
      </c>
      <c r="D60" s="15" t="s">
        <v>10</v>
      </c>
      <c r="E60" s="16" t="s">
        <v>81</v>
      </c>
      <c r="F60" s="17" t="s">
        <v>12</v>
      </c>
      <c r="G60" s="16"/>
    </row>
    <row r="61" spans="1:7" x14ac:dyDescent="0.55000000000000004">
      <c r="A61" s="14" t="s">
        <v>9</v>
      </c>
      <c r="B61" s="14">
        <v>2</v>
      </c>
      <c r="C61" s="14">
        <v>5</v>
      </c>
      <c r="D61" s="15" t="s">
        <v>10</v>
      </c>
      <c r="E61" s="16" t="s">
        <v>82</v>
      </c>
      <c r="F61" s="17" t="s">
        <v>12</v>
      </c>
      <c r="G61" s="16"/>
    </row>
    <row r="62" spans="1:7" x14ac:dyDescent="0.55000000000000004">
      <c r="A62" s="14" t="s">
        <v>9</v>
      </c>
      <c r="B62" s="14">
        <v>2</v>
      </c>
      <c r="C62" s="14">
        <v>5</v>
      </c>
      <c r="D62" s="15" t="s">
        <v>10</v>
      </c>
      <c r="E62" s="16" t="s">
        <v>83</v>
      </c>
      <c r="F62" s="17" t="s">
        <v>12</v>
      </c>
      <c r="G62" s="16"/>
    </row>
    <row r="63" spans="1:7" x14ac:dyDescent="0.55000000000000004">
      <c r="A63" s="14" t="s">
        <v>9</v>
      </c>
      <c r="B63" s="14">
        <v>2</v>
      </c>
      <c r="C63" s="14">
        <v>5</v>
      </c>
      <c r="D63" s="15" t="s">
        <v>10</v>
      </c>
      <c r="E63" s="16" t="s">
        <v>84</v>
      </c>
      <c r="F63" s="17" t="s">
        <v>12</v>
      </c>
      <c r="G63" s="16"/>
    </row>
    <row r="64" spans="1:7" x14ac:dyDescent="0.55000000000000004">
      <c r="A64" s="14" t="s">
        <v>9</v>
      </c>
      <c r="B64" s="14">
        <v>2</v>
      </c>
      <c r="C64" s="14">
        <v>5</v>
      </c>
      <c r="D64" s="15" t="s">
        <v>10</v>
      </c>
      <c r="E64" s="16" t="s">
        <v>85</v>
      </c>
      <c r="F64" s="17" t="s">
        <v>12</v>
      </c>
      <c r="G64" s="16"/>
    </row>
    <row r="65" spans="1:7" x14ac:dyDescent="0.55000000000000004">
      <c r="A65" s="14" t="s">
        <v>9</v>
      </c>
      <c r="B65" s="14">
        <v>2</v>
      </c>
      <c r="C65" s="14">
        <v>5</v>
      </c>
      <c r="D65" s="15" t="s">
        <v>10</v>
      </c>
      <c r="E65" s="16" t="s">
        <v>86</v>
      </c>
      <c r="F65" s="17" t="s">
        <v>12</v>
      </c>
      <c r="G65" s="16"/>
    </row>
    <row r="66" spans="1:7" x14ac:dyDescent="0.55000000000000004">
      <c r="A66" s="14" t="s">
        <v>9</v>
      </c>
      <c r="B66" s="14">
        <v>2</v>
      </c>
      <c r="C66" s="14">
        <v>5</v>
      </c>
      <c r="D66" s="15" t="s">
        <v>10</v>
      </c>
      <c r="E66" s="16" t="s">
        <v>87</v>
      </c>
      <c r="F66" s="17" t="s">
        <v>12</v>
      </c>
      <c r="G66" s="16"/>
    </row>
    <row r="67" spans="1:7" x14ac:dyDescent="0.55000000000000004">
      <c r="A67" s="14" t="s">
        <v>9</v>
      </c>
      <c r="B67" s="14">
        <v>2</v>
      </c>
      <c r="C67" s="14">
        <v>5</v>
      </c>
      <c r="D67" s="15" t="s">
        <v>10</v>
      </c>
      <c r="E67" s="16" t="s">
        <v>88</v>
      </c>
      <c r="F67" s="17" t="s">
        <v>12</v>
      </c>
      <c r="G67" s="16"/>
    </row>
    <row r="68" spans="1:7" x14ac:dyDescent="0.55000000000000004">
      <c r="A68" s="14" t="s">
        <v>9</v>
      </c>
      <c r="B68" s="14">
        <v>2</v>
      </c>
      <c r="C68" s="14">
        <v>5</v>
      </c>
      <c r="D68" s="15" t="s">
        <v>10</v>
      </c>
      <c r="E68" s="16" t="s">
        <v>89</v>
      </c>
      <c r="F68" s="17" t="s">
        <v>12</v>
      </c>
      <c r="G68" s="16"/>
    </row>
    <row r="69" spans="1:7" x14ac:dyDescent="0.55000000000000004">
      <c r="A69" s="14" t="s">
        <v>9</v>
      </c>
      <c r="B69" s="14">
        <v>2</v>
      </c>
      <c r="C69" s="14">
        <v>5</v>
      </c>
      <c r="D69" s="15" t="s">
        <v>10</v>
      </c>
      <c r="E69" s="16" t="s">
        <v>90</v>
      </c>
      <c r="F69" s="17" t="s">
        <v>12</v>
      </c>
      <c r="G69" s="16"/>
    </row>
    <row r="70" spans="1:7" ht="25" customHeight="1" x14ac:dyDescent="0.55000000000000004">
      <c r="A70" s="14" t="s">
        <v>9</v>
      </c>
      <c r="B70" s="14">
        <v>2</v>
      </c>
      <c r="C70" s="14">
        <v>5</v>
      </c>
      <c r="D70" s="15" t="s">
        <v>20</v>
      </c>
      <c r="E70" s="16" t="s">
        <v>91</v>
      </c>
      <c r="F70" s="17" t="s">
        <v>12</v>
      </c>
      <c r="G70" s="16"/>
    </row>
    <row r="71" spans="1:7" x14ac:dyDescent="0.55000000000000004">
      <c r="A71" s="14" t="s">
        <v>9</v>
      </c>
      <c r="B71" s="14">
        <v>2</v>
      </c>
      <c r="C71" s="14">
        <v>5</v>
      </c>
      <c r="D71" s="15" t="s">
        <v>22</v>
      </c>
      <c r="E71" s="16" t="s">
        <v>92</v>
      </c>
      <c r="F71" s="14"/>
      <c r="G71" s="16"/>
    </row>
    <row r="72" spans="1:7" x14ac:dyDescent="0.55000000000000004">
      <c r="A72" s="14" t="s">
        <v>9</v>
      </c>
      <c r="B72" s="14">
        <v>2</v>
      </c>
      <c r="C72" s="14">
        <v>5</v>
      </c>
      <c r="D72" s="15" t="s">
        <v>24</v>
      </c>
      <c r="E72" s="16" t="s">
        <v>93</v>
      </c>
      <c r="F72" s="17" t="s">
        <v>26</v>
      </c>
      <c r="G72" s="16"/>
    </row>
    <row r="73" spans="1:7" ht="25" customHeight="1" x14ac:dyDescent="0.55000000000000004">
      <c r="A73" s="14" t="s">
        <v>9</v>
      </c>
      <c r="B73" s="14">
        <v>2</v>
      </c>
      <c r="C73" s="14">
        <v>5</v>
      </c>
      <c r="D73" s="15" t="s">
        <v>24</v>
      </c>
      <c r="E73" s="16" t="s">
        <v>94</v>
      </c>
      <c r="F73" s="17" t="s">
        <v>95</v>
      </c>
      <c r="G73" s="20" t="s">
        <v>96</v>
      </c>
    </row>
    <row r="74" spans="1:7" x14ac:dyDescent="0.55000000000000004">
      <c r="A74" s="14" t="s">
        <v>9</v>
      </c>
      <c r="B74" s="14">
        <v>2</v>
      </c>
      <c r="C74" s="14">
        <v>5</v>
      </c>
      <c r="D74" s="15" t="s">
        <v>27</v>
      </c>
      <c r="E74" s="16" t="s">
        <v>97</v>
      </c>
      <c r="F74" s="14"/>
      <c r="G74" s="16"/>
    </row>
    <row r="75" spans="1:7" x14ac:dyDescent="0.55000000000000004">
      <c r="A75" s="14" t="s">
        <v>9</v>
      </c>
      <c r="B75" s="14">
        <v>2</v>
      </c>
      <c r="C75" s="14">
        <v>5</v>
      </c>
      <c r="D75" s="15" t="s">
        <v>29</v>
      </c>
      <c r="E75" s="16" t="s">
        <v>98</v>
      </c>
      <c r="F75" s="14"/>
      <c r="G75" s="16"/>
    </row>
    <row r="76" spans="1:7" x14ac:dyDescent="0.55000000000000004">
      <c r="A76" s="14" t="s">
        <v>9</v>
      </c>
      <c r="B76" s="14">
        <v>2</v>
      </c>
      <c r="C76" s="14">
        <v>5</v>
      </c>
      <c r="D76" s="15" t="s">
        <v>31</v>
      </c>
      <c r="E76" s="16" t="s">
        <v>32</v>
      </c>
      <c r="F76" s="14"/>
      <c r="G76" s="16"/>
    </row>
    <row r="77" spans="1:7" x14ac:dyDescent="0.55000000000000004">
      <c r="A77" s="14" t="s">
        <v>9</v>
      </c>
      <c r="B77" s="14">
        <v>2</v>
      </c>
      <c r="C77" s="14">
        <v>5</v>
      </c>
      <c r="D77" s="15" t="s">
        <v>31</v>
      </c>
      <c r="E77" s="16" t="s">
        <v>99</v>
      </c>
      <c r="F77" s="14"/>
      <c r="G77" s="16"/>
    </row>
    <row r="78" spans="1:7" x14ac:dyDescent="0.55000000000000004">
      <c r="A78" s="14" t="s">
        <v>9</v>
      </c>
      <c r="B78" s="14">
        <v>2</v>
      </c>
      <c r="C78" s="14">
        <v>5</v>
      </c>
      <c r="D78" s="15" t="s">
        <v>33</v>
      </c>
      <c r="E78" s="16" t="s">
        <v>100</v>
      </c>
      <c r="F78" s="14"/>
      <c r="G78" s="16"/>
    </row>
    <row r="79" spans="1:7" ht="40" customHeight="1" x14ac:dyDescent="0.55000000000000004">
      <c r="A79" s="21"/>
      <c r="B79" s="21"/>
      <c r="C79" s="21"/>
      <c r="D79" s="22" t="s">
        <v>101</v>
      </c>
      <c r="E79" s="23" t="s">
        <v>102</v>
      </c>
      <c r="F79" s="24"/>
      <c r="G79" s="25"/>
    </row>
    <row r="80" spans="1:7" x14ac:dyDescent="0.55000000000000004">
      <c r="A80" s="14" t="s">
        <v>9</v>
      </c>
      <c r="B80" s="14">
        <v>2</v>
      </c>
      <c r="C80" s="14">
        <v>6</v>
      </c>
      <c r="D80" s="15" t="s">
        <v>10</v>
      </c>
      <c r="E80" s="16" t="s">
        <v>103</v>
      </c>
      <c r="F80" s="17" t="s">
        <v>12</v>
      </c>
      <c r="G80" s="16"/>
    </row>
    <row r="81" spans="1:7" x14ac:dyDescent="0.55000000000000004">
      <c r="A81" s="14" t="s">
        <v>9</v>
      </c>
      <c r="B81" s="14">
        <v>2</v>
      </c>
      <c r="C81" s="14">
        <v>6</v>
      </c>
      <c r="D81" s="15" t="s">
        <v>10</v>
      </c>
      <c r="E81" s="16" t="s">
        <v>104</v>
      </c>
      <c r="F81" s="17" t="s">
        <v>12</v>
      </c>
      <c r="G81" s="16"/>
    </row>
    <row r="82" spans="1:7" x14ac:dyDescent="0.55000000000000004">
      <c r="A82" s="14" t="s">
        <v>9</v>
      </c>
      <c r="B82" s="14">
        <v>2</v>
      </c>
      <c r="C82" s="14">
        <v>6</v>
      </c>
      <c r="D82" s="15" t="s">
        <v>10</v>
      </c>
      <c r="E82" s="16" t="s">
        <v>105</v>
      </c>
      <c r="F82" s="17" t="s">
        <v>12</v>
      </c>
      <c r="G82" s="16"/>
    </row>
    <row r="83" spans="1:7" x14ac:dyDescent="0.55000000000000004">
      <c r="A83" s="14" t="s">
        <v>9</v>
      </c>
      <c r="B83" s="14">
        <v>2</v>
      </c>
      <c r="C83" s="14">
        <v>6</v>
      </c>
      <c r="D83" s="15" t="s">
        <v>10</v>
      </c>
      <c r="E83" s="16" t="s">
        <v>106</v>
      </c>
      <c r="F83" s="17" t="s">
        <v>12</v>
      </c>
      <c r="G83" s="16"/>
    </row>
    <row r="84" spans="1:7" x14ac:dyDescent="0.55000000000000004">
      <c r="A84" s="14" t="s">
        <v>9</v>
      </c>
      <c r="B84" s="14">
        <v>2</v>
      </c>
      <c r="C84" s="14">
        <v>6</v>
      </c>
      <c r="D84" s="15" t="s">
        <v>10</v>
      </c>
      <c r="E84" s="16" t="s">
        <v>107</v>
      </c>
      <c r="F84" s="17" t="s">
        <v>12</v>
      </c>
      <c r="G84" s="16"/>
    </row>
    <row r="85" spans="1:7" x14ac:dyDescent="0.55000000000000004">
      <c r="A85" s="14" t="s">
        <v>9</v>
      </c>
      <c r="B85" s="14">
        <v>2</v>
      </c>
      <c r="C85" s="14">
        <v>6</v>
      </c>
      <c r="D85" s="15" t="s">
        <v>20</v>
      </c>
      <c r="E85" s="16" t="s">
        <v>108</v>
      </c>
      <c r="F85" s="14"/>
      <c r="G85" s="16"/>
    </row>
    <row r="86" spans="1:7" ht="25" customHeight="1" x14ac:dyDescent="0.55000000000000004">
      <c r="A86" s="14" t="s">
        <v>9</v>
      </c>
      <c r="B86" s="14">
        <v>2</v>
      </c>
      <c r="C86" s="14">
        <v>6</v>
      </c>
      <c r="D86" s="15" t="s">
        <v>22</v>
      </c>
      <c r="E86" s="16" t="s">
        <v>109</v>
      </c>
      <c r="F86" s="14"/>
      <c r="G86" s="16"/>
    </row>
    <row r="87" spans="1:7" ht="25" customHeight="1" x14ac:dyDescent="0.55000000000000004">
      <c r="A87" s="14" t="s">
        <v>9</v>
      </c>
      <c r="B87" s="14">
        <v>2</v>
      </c>
      <c r="C87" s="14">
        <v>6</v>
      </c>
      <c r="D87" s="15" t="s">
        <v>24</v>
      </c>
      <c r="E87" s="16" t="s">
        <v>110</v>
      </c>
      <c r="F87" s="17" t="s">
        <v>26</v>
      </c>
      <c r="G87" s="16"/>
    </row>
    <row r="88" spans="1:7" x14ac:dyDescent="0.55000000000000004">
      <c r="A88" s="14" t="s">
        <v>9</v>
      </c>
      <c r="B88" s="14">
        <v>2</v>
      </c>
      <c r="C88" s="14">
        <v>6</v>
      </c>
      <c r="D88" s="15" t="s">
        <v>24</v>
      </c>
      <c r="E88" s="16" t="s">
        <v>111</v>
      </c>
      <c r="F88" s="17" t="s">
        <v>95</v>
      </c>
      <c r="G88" s="20" t="s">
        <v>112</v>
      </c>
    </row>
    <row r="89" spans="1:7" x14ac:dyDescent="0.55000000000000004">
      <c r="A89" s="14" t="s">
        <v>9</v>
      </c>
      <c r="B89" s="14">
        <v>2</v>
      </c>
      <c r="C89" s="14">
        <v>6</v>
      </c>
      <c r="D89" s="15" t="s">
        <v>27</v>
      </c>
      <c r="E89" s="16" t="s">
        <v>113</v>
      </c>
      <c r="F89" s="14"/>
      <c r="G89" s="16"/>
    </row>
    <row r="90" spans="1:7" ht="25" customHeight="1" x14ac:dyDescent="0.55000000000000004">
      <c r="A90" s="14" t="s">
        <v>9</v>
      </c>
      <c r="B90" s="14">
        <v>2</v>
      </c>
      <c r="C90" s="14">
        <v>6</v>
      </c>
      <c r="D90" s="15" t="s">
        <v>27</v>
      </c>
      <c r="E90" s="16" t="s">
        <v>114</v>
      </c>
      <c r="F90" s="14"/>
      <c r="G90" s="16"/>
    </row>
    <row r="91" spans="1:7" ht="25" customHeight="1" x14ac:dyDescent="0.55000000000000004">
      <c r="A91" s="14" t="s">
        <v>9</v>
      </c>
      <c r="B91" s="14">
        <v>2</v>
      </c>
      <c r="C91" s="14">
        <v>6</v>
      </c>
      <c r="D91" s="15" t="s">
        <v>29</v>
      </c>
      <c r="E91" s="16" t="s">
        <v>115</v>
      </c>
      <c r="F91" s="14"/>
      <c r="G91" s="16"/>
    </row>
    <row r="92" spans="1:7" x14ac:dyDescent="0.55000000000000004">
      <c r="A92" s="14" t="s">
        <v>9</v>
      </c>
      <c r="B92" s="14">
        <v>2</v>
      </c>
      <c r="C92" s="14">
        <v>6</v>
      </c>
      <c r="D92" s="15" t="s">
        <v>31</v>
      </c>
      <c r="E92" s="16" t="s">
        <v>32</v>
      </c>
      <c r="F92" s="14"/>
      <c r="G92" s="16"/>
    </row>
    <row r="93" spans="1:7" x14ac:dyDescent="0.55000000000000004">
      <c r="A93" s="14" t="s">
        <v>9</v>
      </c>
      <c r="B93" s="14">
        <v>2</v>
      </c>
      <c r="C93" s="14">
        <v>6</v>
      </c>
      <c r="D93" s="15" t="s">
        <v>31</v>
      </c>
      <c r="E93" s="16" t="s">
        <v>99</v>
      </c>
      <c r="F93" s="14"/>
      <c r="G93" s="16"/>
    </row>
    <row r="94" spans="1:7" ht="25" customHeight="1" x14ac:dyDescent="0.55000000000000004">
      <c r="A94" s="14" t="s">
        <v>9</v>
      </c>
      <c r="B94" s="14">
        <v>2</v>
      </c>
      <c r="C94" s="14">
        <v>6</v>
      </c>
      <c r="D94" s="15" t="s">
        <v>116</v>
      </c>
      <c r="E94" s="16" t="s">
        <v>117</v>
      </c>
      <c r="F94" s="17" t="s">
        <v>95</v>
      </c>
      <c r="G94" s="16"/>
    </row>
    <row r="95" spans="1:7" ht="42" customHeight="1" x14ac:dyDescent="0.55000000000000004">
      <c r="A95" s="21"/>
      <c r="B95" s="21"/>
      <c r="C95" s="21"/>
      <c r="D95" s="22" t="s">
        <v>118</v>
      </c>
      <c r="E95" s="23" t="s">
        <v>119</v>
      </c>
      <c r="F95" s="24"/>
      <c r="G95" s="25"/>
    </row>
    <row r="96" spans="1:7" x14ac:dyDescent="0.55000000000000004">
      <c r="A96" s="14" t="s">
        <v>9</v>
      </c>
      <c r="B96" s="14">
        <v>2</v>
      </c>
      <c r="C96" s="14">
        <v>7</v>
      </c>
      <c r="D96" s="15" t="s">
        <v>10</v>
      </c>
      <c r="E96" s="16" t="s">
        <v>120</v>
      </c>
      <c r="F96" s="17" t="s">
        <v>12</v>
      </c>
      <c r="G96" s="16"/>
    </row>
    <row r="97" spans="1:7" x14ac:dyDescent="0.55000000000000004">
      <c r="A97" s="14" t="s">
        <v>9</v>
      </c>
      <c r="B97" s="14">
        <v>2</v>
      </c>
      <c r="C97" s="14">
        <v>7</v>
      </c>
      <c r="D97" s="15" t="s">
        <v>10</v>
      </c>
      <c r="E97" s="16" t="s">
        <v>121</v>
      </c>
      <c r="F97" s="17" t="s">
        <v>12</v>
      </c>
      <c r="G97" s="16"/>
    </row>
    <row r="98" spans="1:7" x14ac:dyDescent="0.55000000000000004">
      <c r="A98" s="14" t="s">
        <v>9</v>
      </c>
      <c r="B98" s="14">
        <v>2</v>
      </c>
      <c r="C98" s="14">
        <v>7</v>
      </c>
      <c r="D98" s="15" t="s">
        <v>10</v>
      </c>
      <c r="E98" s="16" t="s">
        <v>122</v>
      </c>
      <c r="F98" s="17" t="s">
        <v>12</v>
      </c>
      <c r="G98" s="16"/>
    </row>
    <row r="99" spans="1:7" x14ac:dyDescent="0.55000000000000004">
      <c r="A99" s="14" t="s">
        <v>9</v>
      </c>
      <c r="B99" s="14">
        <v>2</v>
      </c>
      <c r="C99" s="14">
        <v>7</v>
      </c>
      <c r="D99" s="15" t="s">
        <v>10</v>
      </c>
      <c r="E99" s="16" t="s">
        <v>123</v>
      </c>
      <c r="F99" s="17" t="s">
        <v>12</v>
      </c>
      <c r="G99" s="16"/>
    </row>
    <row r="100" spans="1:7" x14ac:dyDescent="0.55000000000000004">
      <c r="A100" s="14" t="s">
        <v>9</v>
      </c>
      <c r="B100" s="14">
        <v>2</v>
      </c>
      <c r="C100" s="14">
        <v>7</v>
      </c>
      <c r="D100" s="15" t="s">
        <v>10</v>
      </c>
      <c r="E100" s="16" t="s">
        <v>124</v>
      </c>
      <c r="F100" s="17" t="s">
        <v>12</v>
      </c>
      <c r="G100" s="16"/>
    </row>
    <row r="101" spans="1:7" x14ac:dyDescent="0.55000000000000004">
      <c r="A101" s="14" t="s">
        <v>9</v>
      </c>
      <c r="B101" s="14">
        <v>2</v>
      </c>
      <c r="C101" s="14">
        <v>7</v>
      </c>
      <c r="D101" s="15" t="s">
        <v>10</v>
      </c>
      <c r="E101" s="16" t="s">
        <v>125</v>
      </c>
      <c r="F101" s="17" t="s">
        <v>12</v>
      </c>
      <c r="G101" s="16"/>
    </row>
    <row r="102" spans="1:7" x14ac:dyDescent="0.55000000000000004">
      <c r="A102" s="14" t="s">
        <v>9</v>
      </c>
      <c r="B102" s="14">
        <v>2</v>
      </c>
      <c r="C102" s="14">
        <v>7</v>
      </c>
      <c r="D102" s="15" t="s">
        <v>20</v>
      </c>
      <c r="E102" s="16" t="s">
        <v>126</v>
      </c>
      <c r="F102" s="14"/>
      <c r="G102" s="16"/>
    </row>
    <row r="103" spans="1:7" ht="25" customHeight="1" x14ac:dyDescent="0.55000000000000004">
      <c r="A103" s="14" t="s">
        <v>9</v>
      </c>
      <c r="B103" s="14">
        <v>2</v>
      </c>
      <c r="C103" s="14">
        <v>7</v>
      </c>
      <c r="D103" s="15" t="s">
        <v>22</v>
      </c>
      <c r="E103" s="16" t="s">
        <v>127</v>
      </c>
      <c r="F103" s="17" t="s">
        <v>95</v>
      </c>
      <c r="G103" s="20" t="s">
        <v>128</v>
      </c>
    </row>
    <row r="104" spans="1:7" x14ac:dyDescent="0.55000000000000004">
      <c r="A104" s="14" t="s">
        <v>9</v>
      </c>
      <c r="B104" s="14">
        <v>2</v>
      </c>
      <c r="C104" s="14">
        <v>7</v>
      </c>
      <c r="D104" s="15" t="s">
        <v>24</v>
      </c>
      <c r="E104" s="16" t="s">
        <v>129</v>
      </c>
      <c r="F104" s="14"/>
      <c r="G104" s="16"/>
    </row>
    <row r="105" spans="1:7" x14ac:dyDescent="0.55000000000000004">
      <c r="A105" s="14" t="s">
        <v>9</v>
      </c>
      <c r="B105" s="14">
        <v>2</v>
      </c>
      <c r="C105" s="14">
        <v>7</v>
      </c>
      <c r="D105" s="15" t="s">
        <v>24</v>
      </c>
      <c r="E105" s="16" t="s">
        <v>130</v>
      </c>
      <c r="F105" s="17" t="s">
        <v>95</v>
      </c>
      <c r="G105" s="16"/>
    </row>
    <row r="106" spans="1:7" ht="25" customHeight="1" x14ac:dyDescent="0.55000000000000004">
      <c r="A106" s="14" t="s">
        <v>9</v>
      </c>
      <c r="B106" s="14">
        <v>2</v>
      </c>
      <c r="C106" s="14">
        <v>7</v>
      </c>
      <c r="D106" s="15" t="s">
        <v>27</v>
      </c>
      <c r="E106" s="16" t="s">
        <v>131</v>
      </c>
      <c r="F106" s="14"/>
      <c r="G106" s="16"/>
    </row>
    <row r="107" spans="1:7" x14ac:dyDescent="0.55000000000000004">
      <c r="A107" s="14" t="s">
        <v>9</v>
      </c>
      <c r="B107" s="14">
        <v>2</v>
      </c>
      <c r="C107" s="14">
        <v>7</v>
      </c>
      <c r="D107" s="15" t="s">
        <v>29</v>
      </c>
      <c r="E107" s="16" t="s">
        <v>132</v>
      </c>
      <c r="F107" s="14"/>
      <c r="G107" s="16"/>
    </row>
    <row r="108" spans="1:7" x14ac:dyDescent="0.55000000000000004">
      <c r="A108" s="14" t="s">
        <v>9</v>
      </c>
      <c r="B108" s="14">
        <v>2</v>
      </c>
      <c r="C108" s="14">
        <v>7</v>
      </c>
      <c r="D108" s="15" t="s">
        <v>31</v>
      </c>
      <c r="E108" s="16" t="s">
        <v>32</v>
      </c>
      <c r="F108" s="14"/>
      <c r="G108" s="16"/>
    </row>
    <row r="109" spans="1:7" x14ac:dyDescent="0.55000000000000004">
      <c r="A109" s="14" t="s">
        <v>9</v>
      </c>
      <c r="B109" s="14">
        <v>2</v>
      </c>
      <c r="C109" s="14">
        <v>7</v>
      </c>
      <c r="D109" s="15" t="s">
        <v>31</v>
      </c>
      <c r="E109" s="16" t="s">
        <v>99</v>
      </c>
      <c r="F109" s="14"/>
      <c r="G109" s="16"/>
    </row>
    <row r="110" spans="1:7" x14ac:dyDescent="0.55000000000000004">
      <c r="A110" s="14" t="s">
        <v>9</v>
      </c>
      <c r="B110" s="14">
        <v>2</v>
      </c>
      <c r="C110" s="14">
        <v>7</v>
      </c>
      <c r="D110" s="15" t="s">
        <v>33</v>
      </c>
      <c r="E110" s="16" t="s">
        <v>133</v>
      </c>
      <c r="F110" s="14"/>
      <c r="G110" s="16"/>
    </row>
    <row r="111" spans="1:7" ht="80.05" customHeight="1" x14ac:dyDescent="0.55000000000000004">
      <c r="A111" s="21"/>
      <c r="B111" s="21"/>
      <c r="C111" s="21"/>
      <c r="D111" s="22" t="s">
        <v>134</v>
      </c>
      <c r="E111" s="23" t="s">
        <v>135</v>
      </c>
      <c r="F111" s="24"/>
      <c r="G111" s="25"/>
    </row>
    <row r="112" spans="1:7" x14ac:dyDescent="0.55000000000000004">
      <c r="A112" s="14" t="s">
        <v>9</v>
      </c>
      <c r="B112" s="14">
        <v>2</v>
      </c>
      <c r="C112" s="14">
        <v>8</v>
      </c>
      <c r="D112" s="15" t="s">
        <v>10</v>
      </c>
      <c r="E112" s="16" t="s">
        <v>136</v>
      </c>
      <c r="F112" s="17" t="s">
        <v>12</v>
      </c>
      <c r="G112" s="16"/>
    </row>
    <row r="113" spans="1:7" x14ac:dyDescent="0.55000000000000004">
      <c r="A113" s="14" t="s">
        <v>9</v>
      </c>
      <c r="B113" s="14">
        <v>2</v>
      </c>
      <c r="C113" s="14">
        <v>8</v>
      </c>
      <c r="D113" s="15" t="s">
        <v>10</v>
      </c>
      <c r="E113" s="16" t="s">
        <v>137</v>
      </c>
      <c r="F113" s="17" t="s">
        <v>12</v>
      </c>
      <c r="G113" s="16"/>
    </row>
    <row r="114" spans="1:7" x14ac:dyDescent="0.55000000000000004">
      <c r="A114" s="14" t="s">
        <v>9</v>
      </c>
      <c r="B114" s="14">
        <v>2</v>
      </c>
      <c r="C114" s="14">
        <v>8</v>
      </c>
      <c r="D114" s="15" t="s">
        <v>10</v>
      </c>
      <c r="E114" s="16" t="s">
        <v>138</v>
      </c>
      <c r="F114" s="17" t="s">
        <v>12</v>
      </c>
      <c r="G114" s="16"/>
    </row>
    <row r="115" spans="1:7" x14ac:dyDescent="0.55000000000000004">
      <c r="A115" s="14" t="s">
        <v>9</v>
      </c>
      <c r="B115" s="14">
        <v>2</v>
      </c>
      <c r="C115" s="14">
        <v>8</v>
      </c>
      <c r="D115" s="15" t="s">
        <v>10</v>
      </c>
      <c r="E115" s="16" t="s">
        <v>139</v>
      </c>
      <c r="F115" s="17" t="s">
        <v>12</v>
      </c>
      <c r="G115" s="16"/>
    </row>
    <row r="116" spans="1:7" x14ac:dyDescent="0.55000000000000004">
      <c r="A116" s="14" t="s">
        <v>9</v>
      </c>
      <c r="B116" s="14">
        <v>2</v>
      </c>
      <c r="C116" s="14">
        <v>8</v>
      </c>
      <c r="D116" s="15" t="s">
        <v>10</v>
      </c>
      <c r="E116" s="16" t="s">
        <v>140</v>
      </c>
      <c r="F116" s="17" t="s">
        <v>12</v>
      </c>
      <c r="G116" s="16"/>
    </row>
    <row r="117" spans="1:7" x14ac:dyDescent="0.55000000000000004">
      <c r="A117" s="14" t="s">
        <v>9</v>
      </c>
      <c r="B117" s="14">
        <v>2</v>
      </c>
      <c r="C117" s="14">
        <v>8</v>
      </c>
      <c r="D117" s="15" t="s">
        <v>10</v>
      </c>
      <c r="E117" s="16" t="s">
        <v>141</v>
      </c>
      <c r="F117" s="17" t="s">
        <v>12</v>
      </c>
      <c r="G117" s="16"/>
    </row>
    <row r="118" spans="1:7" x14ac:dyDescent="0.55000000000000004">
      <c r="A118" s="14" t="s">
        <v>9</v>
      </c>
      <c r="B118" s="14">
        <v>2</v>
      </c>
      <c r="C118" s="14">
        <v>8</v>
      </c>
      <c r="D118" s="15" t="s">
        <v>10</v>
      </c>
      <c r="E118" s="16" t="s">
        <v>142</v>
      </c>
      <c r="F118" s="17" t="s">
        <v>12</v>
      </c>
      <c r="G118" s="16"/>
    </row>
    <row r="119" spans="1:7" x14ac:dyDescent="0.55000000000000004">
      <c r="A119" s="14" t="s">
        <v>9</v>
      </c>
      <c r="B119" s="14">
        <v>2</v>
      </c>
      <c r="C119" s="14">
        <v>8</v>
      </c>
      <c r="D119" s="15" t="s">
        <v>20</v>
      </c>
      <c r="E119" s="16" t="s">
        <v>143</v>
      </c>
      <c r="F119" s="14"/>
      <c r="G119" s="16"/>
    </row>
    <row r="120" spans="1:7" x14ac:dyDescent="0.55000000000000004">
      <c r="A120" s="14" t="s">
        <v>9</v>
      </c>
      <c r="B120" s="14">
        <v>2</v>
      </c>
      <c r="C120" s="14">
        <v>8</v>
      </c>
      <c r="D120" s="15" t="s">
        <v>22</v>
      </c>
      <c r="E120" s="16" t="s">
        <v>144</v>
      </c>
      <c r="F120" s="14"/>
      <c r="G120" s="16"/>
    </row>
    <row r="121" spans="1:7" ht="25" customHeight="1" x14ac:dyDescent="0.55000000000000004">
      <c r="A121" s="14" t="s">
        <v>9</v>
      </c>
      <c r="B121" s="14">
        <v>2</v>
      </c>
      <c r="C121" s="14">
        <v>8</v>
      </c>
      <c r="D121" s="15" t="s">
        <v>22</v>
      </c>
      <c r="E121" s="16" t="s">
        <v>145</v>
      </c>
      <c r="F121" s="14"/>
      <c r="G121" s="16"/>
    </row>
    <row r="122" spans="1:7" x14ac:dyDescent="0.55000000000000004">
      <c r="A122" s="14" t="s">
        <v>9</v>
      </c>
      <c r="B122" s="14">
        <v>2</v>
      </c>
      <c r="C122" s="14">
        <v>8</v>
      </c>
      <c r="D122" s="15" t="s">
        <v>24</v>
      </c>
      <c r="E122" s="16" t="s">
        <v>146</v>
      </c>
      <c r="F122" s="17" t="s">
        <v>95</v>
      </c>
      <c r="G122" s="16"/>
    </row>
    <row r="123" spans="1:7" x14ac:dyDescent="0.55000000000000004">
      <c r="A123" s="14" t="s">
        <v>9</v>
      </c>
      <c r="B123" s="14">
        <v>2</v>
      </c>
      <c r="C123" s="14">
        <v>8</v>
      </c>
      <c r="D123" s="15" t="s">
        <v>24</v>
      </c>
      <c r="E123" s="16" t="s">
        <v>147</v>
      </c>
      <c r="F123" s="17" t="s">
        <v>95</v>
      </c>
      <c r="G123" s="16"/>
    </row>
    <row r="124" spans="1:7" ht="25" customHeight="1" x14ac:dyDescent="0.55000000000000004">
      <c r="A124" s="14" t="s">
        <v>9</v>
      </c>
      <c r="B124" s="14">
        <v>2</v>
      </c>
      <c r="C124" s="14">
        <v>8</v>
      </c>
      <c r="D124" s="15" t="s">
        <v>24</v>
      </c>
      <c r="E124" s="16" t="s">
        <v>148</v>
      </c>
      <c r="F124" s="14"/>
      <c r="G124" s="16"/>
    </row>
    <row r="125" spans="1:7" ht="25" customHeight="1" x14ac:dyDescent="0.55000000000000004">
      <c r="A125" s="14" t="s">
        <v>9</v>
      </c>
      <c r="B125" s="14">
        <v>2</v>
      </c>
      <c r="C125" s="14">
        <v>8</v>
      </c>
      <c r="D125" s="15" t="s">
        <v>27</v>
      </c>
      <c r="E125" s="16" t="s">
        <v>149</v>
      </c>
      <c r="F125" s="17" t="s">
        <v>95</v>
      </c>
      <c r="G125" s="16"/>
    </row>
    <row r="126" spans="1:7" x14ac:dyDescent="0.55000000000000004">
      <c r="A126" s="14" t="s">
        <v>9</v>
      </c>
      <c r="B126" s="14">
        <v>2</v>
      </c>
      <c r="C126" s="14">
        <v>8</v>
      </c>
      <c r="D126" s="15" t="s">
        <v>29</v>
      </c>
      <c r="E126" s="16" t="s">
        <v>150</v>
      </c>
      <c r="F126" s="14"/>
      <c r="G126" s="16"/>
    </row>
    <row r="127" spans="1:7" x14ac:dyDescent="0.55000000000000004">
      <c r="A127" s="14" t="s">
        <v>9</v>
      </c>
      <c r="B127" s="14">
        <v>2</v>
      </c>
      <c r="C127" s="14">
        <v>8</v>
      </c>
      <c r="D127" s="15" t="s">
        <v>31</v>
      </c>
      <c r="E127" s="16" t="s">
        <v>32</v>
      </c>
      <c r="F127" s="14"/>
      <c r="G127" s="16"/>
    </row>
    <row r="128" spans="1:7" x14ac:dyDescent="0.55000000000000004">
      <c r="A128" s="14" t="s">
        <v>9</v>
      </c>
      <c r="B128" s="14">
        <v>2</v>
      </c>
      <c r="C128" s="14">
        <v>8</v>
      </c>
      <c r="D128" s="15" t="s">
        <v>31</v>
      </c>
      <c r="E128" s="16" t="s">
        <v>99</v>
      </c>
      <c r="F128" s="14"/>
      <c r="G128" s="16"/>
    </row>
    <row r="129" spans="1:7" x14ac:dyDescent="0.55000000000000004">
      <c r="A129" s="14" t="s">
        <v>9</v>
      </c>
      <c r="B129" s="14">
        <v>2</v>
      </c>
      <c r="C129" s="14">
        <v>8</v>
      </c>
      <c r="D129" s="15" t="s">
        <v>151</v>
      </c>
      <c r="E129" s="16" t="s">
        <v>152</v>
      </c>
      <c r="F129" s="14"/>
      <c r="G129" s="16"/>
    </row>
    <row r="130" spans="1:7" ht="53.05" customHeight="1" x14ac:dyDescent="0.55000000000000004">
      <c r="A130" s="21"/>
      <c r="B130" s="21"/>
      <c r="C130" s="21"/>
      <c r="D130" s="22" t="s">
        <v>153</v>
      </c>
      <c r="E130" s="23" t="s">
        <v>154</v>
      </c>
      <c r="F130" s="24"/>
      <c r="G130" s="25"/>
    </row>
    <row r="131" spans="1:7" x14ac:dyDescent="0.55000000000000004">
      <c r="A131" s="14" t="s">
        <v>9</v>
      </c>
      <c r="B131" s="14">
        <v>3</v>
      </c>
      <c r="C131" s="14">
        <v>9</v>
      </c>
      <c r="D131" s="15" t="s">
        <v>10</v>
      </c>
      <c r="E131" s="16" t="s">
        <v>155</v>
      </c>
      <c r="F131" s="17" t="s">
        <v>12</v>
      </c>
      <c r="G131" s="16"/>
    </row>
    <row r="132" spans="1:7" x14ac:dyDescent="0.55000000000000004">
      <c r="A132" s="14" t="s">
        <v>9</v>
      </c>
      <c r="B132" s="14">
        <v>3</v>
      </c>
      <c r="C132" s="14">
        <v>9</v>
      </c>
      <c r="D132" s="15" t="s">
        <v>10</v>
      </c>
      <c r="E132" s="16" t="s">
        <v>156</v>
      </c>
      <c r="F132" s="17" t="s">
        <v>12</v>
      </c>
      <c r="G132" s="16"/>
    </row>
    <row r="133" spans="1:7" x14ac:dyDescent="0.55000000000000004">
      <c r="A133" s="14" t="s">
        <v>9</v>
      </c>
      <c r="B133" s="14">
        <v>3</v>
      </c>
      <c r="C133" s="14">
        <v>9</v>
      </c>
      <c r="D133" s="15" t="s">
        <v>10</v>
      </c>
      <c r="E133" s="16" t="s">
        <v>157</v>
      </c>
      <c r="F133" s="17" t="s">
        <v>12</v>
      </c>
      <c r="G133" s="16"/>
    </row>
    <row r="134" spans="1:7" x14ac:dyDescent="0.55000000000000004">
      <c r="A134" s="14" t="s">
        <v>9</v>
      </c>
      <c r="B134" s="14">
        <v>3</v>
      </c>
      <c r="C134" s="14">
        <v>9</v>
      </c>
      <c r="D134" s="15" t="s">
        <v>10</v>
      </c>
      <c r="E134" s="16" t="s">
        <v>158</v>
      </c>
      <c r="F134" s="17" t="s">
        <v>12</v>
      </c>
      <c r="G134" s="16"/>
    </row>
    <row r="135" spans="1:7" x14ac:dyDescent="0.55000000000000004">
      <c r="A135" s="14" t="s">
        <v>9</v>
      </c>
      <c r="B135" s="14">
        <v>3</v>
      </c>
      <c r="C135" s="14">
        <v>9</v>
      </c>
      <c r="D135" s="15" t="s">
        <v>10</v>
      </c>
      <c r="E135" s="16" t="s">
        <v>159</v>
      </c>
      <c r="F135" s="17" t="s">
        <v>12</v>
      </c>
      <c r="G135" s="16"/>
    </row>
    <row r="136" spans="1:7" x14ac:dyDescent="0.55000000000000004">
      <c r="A136" s="14" t="s">
        <v>9</v>
      </c>
      <c r="B136" s="14">
        <v>3</v>
      </c>
      <c r="C136" s="14">
        <v>9</v>
      </c>
      <c r="D136" s="15" t="s">
        <v>10</v>
      </c>
      <c r="E136" s="16" t="s">
        <v>160</v>
      </c>
      <c r="F136" s="17" t="s">
        <v>12</v>
      </c>
      <c r="G136" s="16"/>
    </row>
    <row r="137" spans="1:7" x14ac:dyDescent="0.55000000000000004">
      <c r="A137" s="14" t="s">
        <v>9</v>
      </c>
      <c r="B137" s="14">
        <v>3</v>
      </c>
      <c r="C137" s="14">
        <v>9</v>
      </c>
      <c r="D137" s="15" t="s">
        <v>20</v>
      </c>
      <c r="E137" s="16" t="s">
        <v>161</v>
      </c>
      <c r="F137" s="14"/>
      <c r="G137" s="16"/>
    </row>
    <row r="138" spans="1:7" ht="25" customHeight="1" x14ac:dyDescent="0.55000000000000004">
      <c r="A138" s="14" t="s">
        <v>9</v>
      </c>
      <c r="B138" s="14">
        <v>3</v>
      </c>
      <c r="C138" s="14">
        <v>9</v>
      </c>
      <c r="D138" s="15" t="s">
        <v>22</v>
      </c>
      <c r="E138" s="16" t="s">
        <v>162</v>
      </c>
      <c r="F138" s="14"/>
      <c r="G138" s="16"/>
    </row>
    <row r="139" spans="1:7" x14ac:dyDescent="0.55000000000000004">
      <c r="A139" s="14" t="s">
        <v>9</v>
      </c>
      <c r="B139" s="14">
        <v>3</v>
      </c>
      <c r="C139" s="14">
        <v>9</v>
      </c>
      <c r="D139" s="15" t="s">
        <v>24</v>
      </c>
      <c r="E139" s="16" t="s">
        <v>163</v>
      </c>
      <c r="F139" s="14"/>
      <c r="G139" s="16"/>
    </row>
    <row r="140" spans="1:7" x14ac:dyDescent="0.55000000000000004">
      <c r="A140" s="14" t="s">
        <v>9</v>
      </c>
      <c r="B140" s="14">
        <v>3</v>
      </c>
      <c r="C140" s="14">
        <v>9</v>
      </c>
      <c r="D140" s="15" t="s">
        <v>24</v>
      </c>
      <c r="E140" s="16" t="s">
        <v>164</v>
      </c>
      <c r="F140" s="17" t="s">
        <v>95</v>
      </c>
      <c r="G140" s="16"/>
    </row>
    <row r="141" spans="1:7" x14ac:dyDescent="0.55000000000000004">
      <c r="A141" s="14" t="s">
        <v>9</v>
      </c>
      <c r="B141" s="14">
        <v>3</v>
      </c>
      <c r="C141" s="14">
        <v>9</v>
      </c>
      <c r="D141" s="15" t="s">
        <v>27</v>
      </c>
      <c r="E141" s="16" t="s">
        <v>165</v>
      </c>
      <c r="F141" s="14"/>
      <c r="G141" s="16"/>
    </row>
    <row r="142" spans="1:7" x14ac:dyDescent="0.55000000000000004">
      <c r="A142" s="14" t="s">
        <v>9</v>
      </c>
      <c r="B142" s="14">
        <v>3</v>
      </c>
      <c r="C142" s="14">
        <v>9</v>
      </c>
      <c r="D142" s="15" t="s">
        <v>29</v>
      </c>
      <c r="E142" s="16" t="s">
        <v>166</v>
      </c>
      <c r="F142" s="14"/>
      <c r="G142" s="16"/>
    </row>
    <row r="143" spans="1:7" x14ac:dyDescent="0.55000000000000004">
      <c r="A143" s="14" t="s">
        <v>9</v>
      </c>
      <c r="B143" s="14">
        <v>3</v>
      </c>
      <c r="C143" s="14">
        <v>9</v>
      </c>
      <c r="D143" s="15" t="s">
        <v>31</v>
      </c>
      <c r="E143" s="16" t="s">
        <v>32</v>
      </c>
      <c r="F143" s="14"/>
      <c r="G143" s="16"/>
    </row>
    <row r="144" spans="1:7" x14ac:dyDescent="0.55000000000000004">
      <c r="A144" s="14" t="s">
        <v>9</v>
      </c>
      <c r="B144" s="14">
        <v>3</v>
      </c>
      <c r="C144" s="14">
        <v>9</v>
      </c>
      <c r="D144" s="15" t="s">
        <v>31</v>
      </c>
      <c r="E144" s="16" t="s">
        <v>167</v>
      </c>
      <c r="F144" s="14"/>
      <c r="G144" s="16"/>
    </row>
    <row r="145" spans="1:7" x14ac:dyDescent="0.55000000000000004">
      <c r="A145" s="14" t="s">
        <v>9</v>
      </c>
      <c r="B145" s="14">
        <v>3</v>
      </c>
      <c r="C145" s="14">
        <v>9</v>
      </c>
      <c r="D145" s="15" t="s">
        <v>116</v>
      </c>
      <c r="E145" s="16" t="s">
        <v>168</v>
      </c>
      <c r="F145" s="14"/>
      <c r="G145" s="16"/>
    </row>
    <row r="146" spans="1:7" ht="54" customHeight="1" x14ac:dyDescent="0.55000000000000004">
      <c r="A146" s="21"/>
      <c r="B146" s="21"/>
      <c r="C146" s="21"/>
      <c r="D146" s="22" t="s">
        <v>169</v>
      </c>
      <c r="E146" s="23" t="s">
        <v>170</v>
      </c>
      <c r="F146" s="24"/>
      <c r="G146" s="25"/>
    </row>
    <row r="147" spans="1:7" x14ac:dyDescent="0.55000000000000004">
      <c r="A147" s="14" t="s">
        <v>9</v>
      </c>
      <c r="B147" s="14">
        <v>3</v>
      </c>
      <c r="C147" s="14">
        <v>10</v>
      </c>
      <c r="D147" s="15" t="s">
        <v>10</v>
      </c>
      <c r="E147" s="16" t="s">
        <v>171</v>
      </c>
      <c r="F147" s="17" t="s">
        <v>12</v>
      </c>
      <c r="G147" s="16"/>
    </row>
    <row r="148" spans="1:7" x14ac:dyDescent="0.55000000000000004">
      <c r="A148" s="14" t="s">
        <v>9</v>
      </c>
      <c r="B148" s="14">
        <v>3</v>
      </c>
      <c r="C148" s="14">
        <v>10</v>
      </c>
      <c r="D148" s="15" t="s">
        <v>10</v>
      </c>
      <c r="E148" s="16" t="s">
        <v>172</v>
      </c>
      <c r="F148" s="17" t="s">
        <v>12</v>
      </c>
      <c r="G148" s="16"/>
    </row>
    <row r="149" spans="1:7" x14ac:dyDescent="0.55000000000000004">
      <c r="A149" s="14" t="s">
        <v>9</v>
      </c>
      <c r="B149" s="14">
        <v>3</v>
      </c>
      <c r="C149" s="14">
        <v>10</v>
      </c>
      <c r="D149" s="15" t="s">
        <v>10</v>
      </c>
      <c r="E149" s="16" t="s">
        <v>173</v>
      </c>
      <c r="F149" s="17" t="s">
        <v>12</v>
      </c>
      <c r="G149" s="16"/>
    </row>
    <row r="150" spans="1:7" x14ac:dyDescent="0.55000000000000004">
      <c r="A150" s="14" t="s">
        <v>9</v>
      </c>
      <c r="B150" s="14">
        <v>3</v>
      </c>
      <c r="C150" s="14">
        <v>10</v>
      </c>
      <c r="D150" s="15" t="s">
        <v>10</v>
      </c>
      <c r="E150" s="16" t="s">
        <v>174</v>
      </c>
      <c r="F150" s="17" t="s">
        <v>12</v>
      </c>
      <c r="G150" s="16"/>
    </row>
    <row r="151" spans="1:7" x14ac:dyDescent="0.55000000000000004">
      <c r="A151" s="14" t="s">
        <v>9</v>
      </c>
      <c r="B151" s="14">
        <v>3</v>
      </c>
      <c r="C151" s="14">
        <v>10</v>
      </c>
      <c r="D151" s="15" t="s">
        <v>10</v>
      </c>
      <c r="E151" s="16" t="s">
        <v>175</v>
      </c>
      <c r="F151" s="17" t="s">
        <v>12</v>
      </c>
      <c r="G151" s="16"/>
    </row>
    <row r="152" spans="1:7" x14ac:dyDescent="0.55000000000000004">
      <c r="A152" s="14" t="s">
        <v>9</v>
      </c>
      <c r="B152" s="14">
        <v>3</v>
      </c>
      <c r="C152" s="14">
        <v>10</v>
      </c>
      <c r="D152" s="15" t="s">
        <v>10</v>
      </c>
      <c r="E152" s="16" t="s">
        <v>176</v>
      </c>
      <c r="F152" s="17" t="s">
        <v>12</v>
      </c>
      <c r="G152" s="16"/>
    </row>
    <row r="153" spans="1:7" x14ac:dyDescent="0.55000000000000004">
      <c r="A153" s="14" t="s">
        <v>9</v>
      </c>
      <c r="B153" s="14">
        <v>3</v>
      </c>
      <c r="C153" s="14">
        <v>10</v>
      </c>
      <c r="D153" s="15" t="s">
        <v>10</v>
      </c>
      <c r="E153" s="16" t="s">
        <v>177</v>
      </c>
      <c r="F153" s="17" t="s">
        <v>12</v>
      </c>
      <c r="G153" s="16"/>
    </row>
    <row r="154" spans="1:7" x14ac:dyDescent="0.55000000000000004">
      <c r="A154" s="14" t="s">
        <v>9</v>
      </c>
      <c r="B154" s="14">
        <v>3</v>
      </c>
      <c r="C154" s="14">
        <v>10</v>
      </c>
      <c r="D154" s="15" t="s">
        <v>10</v>
      </c>
      <c r="E154" s="16" t="s">
        <v>178</v>
      </c>
      <c r="F154" s="17" t="s">
        <v>12</v>
      </c>
      <c r="G154" s="16"/>
    </row>
    <row r="155" spans="1:7" x14ac:dyDescent="0.55000000000000004">
      <c r="A155" s="14" t="s">
        <v>9</v>
      </c>
      <c r="B155" s="14">
        <v>3</v>
      </c>
      <c r="C155" s="14">
        <v>10</v>
      </c>
      <c r="D155" s="15" t="s">
        <v>10</v>
      </c>
      <c r="E155" s="16" t="s">
        <v>179</v>
      </c>
      <c r="F155" s="17" t="s">
        <v>12</v>
      </c>
      <c r="G155" s="16"/>
    </row>
    <row r="156" spans="1:7" x14ac:dyDescent="0.55000000000000004">
      <c r="A156" s="14" t="s">
        <v>9</v>
      </c>
      <c r="B156" s="14">
        <v>3</v>
      </c>
      <c r="C156" s="14">
        <v>10</v>
      </c>
      <c r="D156" s="15" t="s">
        <v>10</v>
      </c>
      <c r="E156" s="16" t="s">
        <v>180</v>
      </c>
      <c r="F156" s="17" t="s">
        <v>12</v>
      </c>
      <c r="G156" s="16"/>
    </row>
    <row r="157" spans="1:7" ht="25" customHeight="1" x14ac:dyDescent="0.55000000000000004">
      <c r="A157" s="14" t="s">
        <v>9</v>
      </c>
      <c r="B157" s="14">
        <v>3</v>
      </c>
      <c r="C157" s="14">
        <v>10</v>
      </c>
      <c r="D157" s="15" t="s">
        <v>20</v>
      </c>
      <c r="E157" s="16" t="s">
        <v>181</v>
      </c>
      <c r="F157" s="14"/>
      <c r="G157" s="16"/>
    </row>
    <row r="158" spans="1:7" x14ac:dyDescent="0.55000000000000004">
      <c r="A158" s="14" t="s">
        <v>9</v>
      </c>
      <c r="B158" s="14">
        <v>3</v>
      </c>
      <c r="C158" s="14">
        <v>10</v>
      </c>
      <c r="D158" s="15" t="s">
        <v>22</v>
      </c>
      <c r="E158" s="16" t="s">
        <v>182</v>
      </c>
      <c r="F158" s="14"/>
      <c r="G158" s="16"/>
    </row>
    <row r="159" spans="1:7" ht="25" customHeight="1" x14ac:dyDescent="0.55000000000000004">
      <c r="A159" s="14" t="s">
        <v>9</v>
      </c>
      <c r="B159" s="14">
        <v>3</v>
      </c>
      <c r="C159" s="14">
        <v>10</v>
      </c>
      <c r="D159" s="15" t="s">
        <v>22</v>
      </c>
      <c r="E159" s="16" t="s">
        <v>183</v>
      </c>
      <c r="F159" s="14"/>
      <c r="G159" s="16"/>
    </row>
    <row r="160" spans="1:7" ht="25" customHeight="1" x14ac:dyDescent="0.55000000000000004">
      <c r="A160" s="14" t="s">
        <v>9</v>
      </c>
      <c r="B160" s="14">
        <v>3</v>
      </c>
      <c r="C160" s="14">
        <v>10</v>
      </c>
      <c r="D160" s="15" t="s">
        <v>24</v>
      </c>
      <c r="E160" s="16" t="s">
        <v>184</v>
      </c>
      <c r="F160" s="14"/>
      <c r="G160" s="16"/>
    </row>
    <row r="161" spans="1:7" x14ac:dyDescent="0.55000000000000004">
      <c r="A161" s="14" t="s">
        <v>9</v>
      </c>
      <c r="B161" s="14">
        <v>3</v>
      </c>
      <c r="C161" s="14">
        <v>10</v>
      </c>
      <c r="D161" s="15" t="s">
        <v>27</v>
      </c>
      <c r="E161" s="16" t="s">
        <v>185</v>
      </c>
      <c r="F161" s="14"/>
      <c r="G161" s="16"/>
    </row>
    <row r="162" spans="1:7" x14ac:dyDescent="0.55000000000000004">
      <c r="A162" s="14" t="s">
        <v>9</v>
      </c>
      <c r="B162" s="14">
        <v>3</v>
      </c>
      <c r="C162" s="14">
        <v>10</v>
      </c>
      <c r="D162" s="15" t="s">
        <v>29</v>
      </c>
      <c r="E162" s="16" t="s">
        <v>186</v>
      </c>
      <c r="F162" s="14"/>
      <c r="G162" s="16"/>
    </row>
    <row r="163" spans="1:7" x14ac:dyDescent="0.55000000000000004">
      <c r="A163" s="14" t="s">
        <v>9</v>
      </c>
      <c r="B163" s="14">
        <v>3</v>
      </c>
      <c r="C163" s="14">
        <v>10</v>
      </c>
      <c r="D163" s="15" t="s">
        <v>31</v>
      </c>
      <c r="E163" s="16" t="s">
        <v>32</v>
      </c>
      <c r="F163" s="14"/>
      <c r="G163" s="16"/>
    </row>
    <row r="164" spans="1:7" x14ac:dyDescent="0.55000000000000004">
      <c r="A164" s="14" t="s">
        <v>9</v>
      </c>
      <c r="B164" s="14">
        <v>3</v>
      </c>
      <c r="C164" s="14">
        <v>10</v>
      </c>
      <c r="D164" s="15" t="s">
        <v>31</v>
      </c>
      <c r="E164" s="16" t="s">
        <v>167</v>
      </c>
      <c r="F164" s="14"/>
      <c r="G164" s="16"/>
    </row>
    <row r="165" spans="1:7" ht="53.05" customHeight="1" x14ac:dyDescent="0.55000000000000004">
      <c r="A165" s="21"/>
      <c r="B165" s="21"/>
      <c r="C165" s="21"/>
      <c r="D165" s="22" t="s">
        <v>187</v>
      </c>
      <c r="E165" s="23" t="s">
        <v>188</v>
      </c>
      <c r="F165" s="24"/>
      <c r="G165" s="25"/>
    </row>
    <row r="166" spans="1:7" x14ac:dyDescent="0.55000000000000004">
      <c r="A166" s="14" t="s">
        <v>9</v>
      </c>
      <c r="B166" s="14">
        <v>3</v>
      </c>
      <c r="C166" s="14">
        <v>11</v>
      </c>
      <c r="D166" s="15" t="s">
        <v>10</v>
      </c>
      <c r="E166" s="16" t="s">
        <v>189</v>
      </c>
      <c r="F166" s="17" t="s">
        <v>12</v>
      </c>
      <c r="G166" s="16"/>
    </row>
    <row r="167" spans="1:7" x14ac:dyDescent="0.55000000000000004">
      <c r="A167" s="14" t="s">
        <v>9</v>
      </c>
      <c r="B167" s="14">
        <v>3</v>
      </c>
      <c r="C167" s="14">
        <v>11</v>
      </c>
      <c r="D167" s="15" t="s">
        <v>10</v>
      </c>
      <c r="E167" s="16" t="s">
        <v>190</v>
      </c>
      <c r="F167" s="17" t="s">
        <v>12</v>
      </c>
      <c r="G167" s="16"/>
    </row>
    <row r="168" spans="1:7" x14ac:dyDescent="0.55000000000000004">
      <c r="A168" s="14" t="s">
        <v>9</v>
      </c>
      <c r="B168" s="14">
        <v>3</v>
      </c>
      <c r="C168" s="14">
        <v>11</v>
      </c>
      <c r="D168" s="15" t="s">
        <v>10</v>
      </c>
      <c r="E168" s="16" t="s">
        <v>191</v>
      </c>
      <c r="F168" s="17" t="s">
        <v>12</v>
      </c>
      <c r="G168" s="16"/>
    </row>
    <row r="169" spans="1:7" x14ac:dyDescent="0.55000000000000004">
      <c r="A169" s="14" t="s">
        <v>9</v>
      </c>
      <c r="B169" s="14">
        <v>3</v>
      </c>
      <c r="C169" s="14">
        <v>11</v>
      </c>
      <c r="D169" s="15" t="s">
        <v>10</v>
      </c>
      <c r="E169" s="16" t="s">
        <v>192</v>
      </c>
      <c r="F169" s="17" t="s">
        <v>12</v>
      </c>
      <c r="G169" s="16"/>
    </row>
    <row r="170" spans="1:7" x14ac:dyDescent="0.55000000000000004">
      <c r="A170" s="14" t="s">
        <v>9</v>
      </c>
      <c r="B170" s="14">
        <v>3</v>
      </c>
      <c r="C170" s="14">
        <v>11</v>
      </c>
      <c r="D170" s="15" t="s">
        <v>10</v>
      </c>
      <c r="E170" s="16" t="s">
        <v>193</v>
      </c>
      <c r="F170" s="17" t="s">
        <v>12</v>
      </c>
      <c r="G170" s="16"/>
    </row>
    <row r="171" spans="1:7" x14ac:dyDescent="0.55000000000000004">
      <c r="A171" s="14" t="s">
        <v>9</v>
      </c>
      <c r="B171" s="14">
        <v>3</v>
      </c>
      <c r="C171" s="14">
        <v>11</v>
      </c>
      <c r="D171" s="15" t="s">
        <v>10</v>
      </c>
      <c r="E171" s="16" t="s">
        <v>194</v>
      </c>
      <c r="F171" s="17" t="s">
        <v>12</v>
      </c>
      <c r="G171" s="16"/>
    </row>
    <row r="172" spans="1:7" x14ac:dyDescent="0.55000000000000004">
      <c r="A172" s="14" t="s">
        <v>9</v>
      </c>
      <c r="B172" s="14">
        <v>3</v>
      </c>
      <c r="C172" s="14">
        <v>11</v>
      </c>
      <c r="D172" s="15" t="s">
        <v>20</v>
      </c>
      <c r="E172" s="16" t="s">
        <v>195</v>
      </c>
      <c r="F172" s="14"/>
      <c r="G172" s="16"/>
    </row>
    <row r="173" spans="1:7" x14ac:dyDescent="0.55000000000000004">
      <c r="A173" s="14" t="s">
        <v>9</v>
      </c>
      <c r="B173" s="14">
        <v>3</v>
      </c>
      <c r="C173" s="14">
        <v>11</v>
      </c>
      <c r="D173" s="15" t="s">
        <v>22</v>
      </c>
      <c r="E173" s="16" t="s">
        <v>196</v>
      </c>
      <c r="F173" s="14"/>
      <c r="G173" s="16"/>
    </row>
    <row r="174" spans="1:7" x14ac:dyDescent="0.55000000000000004">
      <c r="A174" s="14" t="s">
        <v>9</v>
      </c>
      <c r="B174" s="14">
        <v>3</v>
      </c>
      <c r="C174" s="14">
        <v>11</v>
      </c>
      <c r="D174" s="15" t="s">
        <v>24</v>
      </c>
      <c r="E174" s="16" t="s">
        <v>197</v>
      </c>
      <c r="F174" s="14"/>
      <c r="G174" s="16"/>
    </row>
    <row r="175" spans="1:7" ht="25" customHeight="1" x14ac:dyDescent="0.55000000000000004">
      <c r="A175" s="14" t="s">
        <v>9</v>
      </c>
      <c r="B175" s="14">
        <v>3</v>
      </c>
      <c r="C175" s="14">
        <v>11</v>
      </c>
      <c r="D175" s="15" t="s">
        <v>24</v>
      </c>
      <c r="E175" s="16" t="s">
        <v>198</v>
      </c>
      <c r="F175" s="17" t="s">
        <v>95</v>
      </c>
      <c r="G175" s="16"/>
    </row>
    <row r="176" spans="1:7" x14ac:dyDescent="0.55000000000000004">
      <c r="A176" s="14" t="s">
        <v>9</v>
      </c>
      <c r="B176" s="14">
        <v>3</v>
      </c>
      <c r="C176" s="14">
        <v>11</v>
      </c>
      <c r="D176" s="15" t="s">
        <v>24</v>
      </c>
      <c r="E176" s="16" t="s">
        <v>199</v>
      </c>
      <c r="F176" s="14"/>
      <c r="G176" s="16"/>
    </row>
    <row r="177" spans="1:7" x14ac:dyDescent="0.55000000000000004">
      <c r="A177" s="14" t="s">
        <v>9</v>
      </c>
      <c r="B177" s="14">
        <v>3</v>
      </c>
      <c r="C177" s="14">
        <v>11</v>
      </c>
      <c r="D177" s="15" t="s">
        <v>27</v>
      </c>
      <c r="E177" s="16" t="s">
        <v>200</v>
      </c>
      <c r="F177" s="14"/>
      <c r="G177" s="16"/>
    </row>
    <row r="178" spans="1:7" x14ac:dyDescent="0.55000000000000004">
      <c r="A178" s="14" t="s">
        <v>9</v>
      </c>
      <c r="B178" s="14">
        <v>3</v>
      </c>
      <c r="C178" s="14">
        <v>11</v>
      </c>
      <c r="D178" s="15" t="s">
        <v>29</v>
      </c>
      <c r="E178" s="16" t="s">
        <v>201</v>
      </c>
      <c r="F178" s="14"/>
      <c r="G178" s="16"/>
    </row>
    <row r="179" spans="1:7" x14ac:dyDescent="0.55000000000000004">
      <c r="A179" s="14" t="s">
        <v>9</v>
      </c>
      <c r="B179" s="14">
        <v>3</v>
      </c>
      <c r="C179" s="14">
        <v>11</v>
      </c>
      <c r="D179" s="15" t="s">
        <v>31</v>
      </c>
      <c r="E179" s="16" t="s">
        <v>32</v>
      </c>
      <c r="F179" s="14"/>
      <c r="G179" s="16"/>
    </row>
    <row r="180" spans="1:7" x14ac:dyDescent="0.55000000000000004">
      <c r="A180" s="14" t="s">
        <v>9</v>
      </c>
      <c r="B180" s="14">
        <v>3</v>
      </c>
      <c r="C180" s="14">
        <v>11</v>
      </c>
      <c r="D180" s="15" t="s">
        <v>31</v>
      </c>
      <c r="E180" s="16" t="s">
        <v>167</v>
      </c>
      <c r="F180" s="14"/>
      <c r="G180" s="16"/>
    </row>
    <row r="181" spans="1:7" ht="41.05" customHeight="1" x14ac:dyDescent="0.55000000000000004">
      <c r="A181" s="21"/>
      <c r="B181" s="21"/>
      <c r="C181" s="21"/>
      <c r="D181" s="22" t="s">
        <v>202</v>
      </c>
      <c r="E181" s="23" t="s">
        <v>203</v>
      </c>
      <c r="F181" s="24"/>
      <c r="G181" s="25"/>
    </row>
    <row r="182" spans="1:7" x14ac:dyDescent="0.55000000000000004">
      <c r="A182" s="14" t="s">
        <v>9</v>
      </c>
      <c r="B182" s="14">
        <v>3</v>
      </c>
      <c r="C182" s="14">
        <v>12</v>
      </c>
      <c r="D182" s="15" t="s">
        <v>10</v>
      </c>
      <c r="E182" s="16" t="s">
        <v>204</v>
      </c>
      <c r="F182" s="17" t="s">
        <v>12</v>
      </c>
      <c r="G182" s="16"/>
    </row>
    <row r="183" spans="1:7" x14ac:dyDescent="0.55000000000000004">
      <c r="A183" s="14" t="s">
        <v>9</v>
      </c>
      <c r="B183" s="14">
        <v>3</v>
      </c>
      <c r="C183" s="14">
        <v>12</v>
      </c>
      <c r="D183" s="15" t="s">
        <v>10</v>
      </c>
      <c r="E183" s="16" t="s">
        <v>205</v>
      </c>
      <c r="F183" s="17" t="s">
        <v>12</v>
      </c>
      <c r="G183" s="16"/>
    </row>
    <row r="184" spans="1:7" x14ac:dyDescent="0.55000000000000004">
      <c r="A184" s="14" t="s">
        <v>9</v>
      </c>
      <c r="B184" s="14">
        <v>3</v>
      </c>
      <c r="C184" s="14">
        <v>12</v>
      </c>
      <c r="D184" s="15" t="s">
        <v>10</v>
      </c>
      <c r="E184" s="16" t="s">
        <v>206</v>
      </c>
      <c r="F184" s="17" t="s">
        <v>12</v>
      </c>
      <c r="G184" s="16"/>
    </row>
    <row r="185" spans="1:7" x14ac:dyDescent="0.55000000000000004">
      <c r="A185" s="14" t="s">
        <v>9</v>
      </c>
      <c r="B185" s="14">
        <v>3</v>
      </c>
      <c r="C185" s="14">
        <v>12</v>
      </c>
      <c r="D185" s="15" t="s">
        <v>10</v>
      </c>
      <c r="E185" s="16" t="s">
        <v>207</v>
      </c>
      <c r="F185" s="17" t="s">
        <v>12</v>
      </c>
      <c r="G185" s="16"/>
    </row>
    <row r="186" spans="1:7" ht="25" customHeight="1" x14ac:dyDescent="0.55000000000000004">
      <c r="A186" s="14" t="s">
        <v>9</v>
      </c>
      <c r="B186" s="14">
        <v>3</v>
      </c>
      <c r="C186" s="14">
        <v>12</v>
      </c>
      <c r="D186" s="15" t="s">
        <v>10</v>
      </c>
      <c r="E186" s="16" t="s">
        <v>208</v>
      </c>
      <c r="F186" s="14"/>
      <c r="G186" s="16"/>
    </row>
    <row r="187" spans="1:7" x14ac:dyDescent="0.55000000000000004">
      <c r="A187" s="14" t="s">
        <v>9</v>
      </c>
      <c r="B187" s="14">
        <v>3</v>
      </c>
      <c r="C187" s="14">
        <v>12</v>
      </c>
      <c r="D187" s="15" t="s">
        <v>10</v>
      </c>
      <c r="E187" s="16" t="s">
        <v>209</v>
      </c>
      <c r="F187" s="17" t="s">
        <v>12</v>
      </c>
      <c r="G187" s="16"/>
    </row>
    <row r="188" spans="1:7" x14ac:dyDescent="0.55000000000000004">
      <c r="A188" s="14" t="s">
        <v>9</v>
      </c>
      <c r="B188" s="14">
        <v>3</v>
      </c>
      <c r="C188" s="14">
        <v>12</v>
      </c>
      <c r="D188" s="15" t="s">
        <v>20</v>
      </c>
      <c r="E188" s="16" t="s">
        <v>210</v>
      </c>
      <c r="F188" s="14"/>
      <c r="G188" s="16"/>
    </row>
    <row r="189" spans="1:7" x14ac:dyDescent="0.55000000000000004">
      <c r="A189" s="14" t="s">
        <v>9</v>
      </c>
      <c r="B189" s="14">
        <v>3</v>
      </c>
      <c r="C189" s="14">
        <v>12</v>
      </c>
      <c r="D189" s="15" t="s">
        <v>22</v>
      </c>
      <c r="E189" s="16" t="s">
        <v>211</v>
      </c>
      <c r="F189" s="14"/>
      <c r="G189" s="16"/>
    </row>
    <row r="190" spans="1:7" x14ac:dyDescent="0.55000000000000004">
      <c r="A190" s="14" t="s">
        <v>9</v>
      </c>
      <c r="B190" s="14">
        <v>3</v>
      </c>
      <c r="C190" s="14">
        <v>12</v>
      </c>
      <c r="D190" s="15" t="s">
        <v>24</v>
      </c>
      <c r="E190" s="16" t="s">
        <v>212</v>
      </c>
      <c r="F190" s="14"/>
      <c r="G190" s="16"/>
    </row>
    <row r="191" spans="1:7" ht="25" customHeight="1" x14ac:dyDescent="0.55000000000000004">
      <c r="A191" s="14" t="s">
        <v>9</v>
      </c>
      <c r="B191" s="14">
        <v>3</v>
      </c>
      <c r="C191" s="14">
        <v>12</v>
      </c>
      <c r="D191" s="15" t="s">
        <v>24</v>
      </c>
      <c r="E191" s="16" t="s">
        <v>213</v>
      </c>
      <c r="F191" s="14"/>
      <c r="G191" s="16"/>
    </row>
    <row r="192" spans="1:7" x14ac:dyDescent="0.55000000000000004">
      <c r="A192" s="14" t="s">
        <v>9</v>
      </c>
      <c r="B192" s="14">
        <v>3</v>
      </c>
      <c r="C192" s="14">
        <v>12</v>
      </c>
      <c r="D192" s="15" t="s">
        <v>27</v>
      </c>
      <c r="E192" s="16" t="s">
        <v>214</v>
      </c>
      <c r="F192" s="14"/>
      <c r="G192" s="16"/>
    </row>
    <row r="193" spans="1:7" x14ac:dyDescent="0.55000000000000004">
      <c r="A193" s="14" t="s">
        <v>9</v>
      </c>
      <c r="B193" s="14">
        <v>3</v>
      </c>
      <c r="C193" s="14">
        <v>12</v>
      </c>
      <c r="D193" s="15" t="s">
        <v>29</v>
      </c>
      <c r="E193" s="16" t="s">
        <v>215</v>
      </c>
      <c r="F193" s="14"/>
      <c r="G193" s="16"/>
    </row>
    <row r="194" spans="1:7" x14ac:dyDescent="0.55000000000000004">
      <c r="A194" s="14" t="s">
        <v>9</v>
      </c>
      <c r="B194" s="14">
        <v>3</v>
      </c>
      <c r="C194" s="14">
        <v>12</v>
      </c>
      <c r="D194" s="15" t="s">
        <v>31</v>
      </c>
      <c r="E194" s="16" t="s">
        <v>32</v>
      </c>
      <c r="F194" s="14"/>
      <c r="G194" s="16"/>
    </row>
    <row r="195" spans="1:7" x14ac:dyDescent="0.55000000000000004">
      <c r="A195" s="14" t="s">
        <v>9</v>
      </c>
      <c r="B195" s="14">
        <v>3</v>
      </c>
      <c r="C195" s="14">
        <v>12</v>
      </c>
      <c r="D195" s="15" t="s">
        <v>31</v>
      </c>
      <c r="E195" s="16" t="s">
        <v>167</v>
      </c>
      <c r="F195" s="14"/>
      <c r="G195" s="16"/>
    </row>
    <row r="196" spans="1:7" x14ac:dyDescent="0.55000000000000004">
      <c r="A196" s="14" t="s">
        <v>9</v>
      </c>
      <c r="B196" s="14">
        <v>3</v>
      </c>
      <c r="C196" s="14">
        <v>12</v>
      </c>
      <c r="D196" s="15" t="s">
        <v>116</v>
      </c>
      <c r="E196" s="16" t="s">
        <v>216</v>
      </c>
      <c r="F196" s="14"/>
      <c r="G196" s="16"/>
    </row>
    <row r="197" spans="1:7" ht="41.05" customHeight="1" x14ac:dyDescent="0.55000000000000004">
      <c r="A197" s="21"/>
      <c r="B197" s="21"/>
      <c r="C197" s="21"/>
      <c r="D197" s="22" t="s">
        <v>217</v>
      </c>
      <c r="E197" s="23" t="s">
        <v>218</v>
      </c>
      <c r="F197" s="24"/>
      <c r="G197" s="25"/>
    </row>
    <row r="198" spans="1:7" x14ac:dyDescent="0.55000000000000004">
      <c r="A198" s="14" t="s">
        <v>9</v>
      </c>
      <c r="B198" s="14">
        <v>4</v>
      </c>
      <c r="C198" s="14">
        <v>13</v>
      </c>
      <c r="D198" s="15" t="s">
        <v>10</v>
      </c>
      <c r="E198" s="16" t="s">
        <v>219</v>
      </c>
      <c r="F198" s="17" t="s">
        <v>12</v>
      </c>
      <c r="G198" s="16"/>
    </row>
    <row r="199" spans="1:7" x14ac:dyDescent="0.55000000000000004">
      <c r="A199" s="14" t="s">
        <v>9</v>
      </c>
      <c r="B199" s="14">
        <v>4</v>
      </c>
      <c r="C199" s="14">
        <v>13</v>
      </c>
      <c r="D199" s="15" t="s">
        <v>10</v>
      </c>
      <c r="E199" s="16" t="s">
        <v>220</v>
      </c>
      <c r="F199" s="17" t="s">
        <v>12</v>
      </c>
      <c r="G199" s="16"/>
    </row>
    <row r="200" spans="1:7" x14ac:dyDescent="0.55000000000000004">
      <c r="A200" s="14" t="s">
        <v>9</v>
      </c>
      <c r="B200" s="14">
        <v>4</v>
      </c>
      <c r="C200" s="14">
        <v>13</v>
      </c>
      <c r="D200" s="15" t="s">
        <v>10</v>
      </c>
      <c r="E200" s="16" t="s">
        <v>221</v>
      </c>
      <c r="F200" s="17" t="s">
        <v>12</v>
      </c>
      <c r="G200" s="16"/>
    </row>
    <row r="201" spans="1:7" x14ac:dyDescent="0.55000000000000004">
      <c r="A201" s="14" t="s">
        <v>9</v>
      </c>
      <c r="B201" s="14">
        <v>4</v>
      </c>
      <c r="C201" s="14">
        <v>13</v>
      </c>
      <c r="D201" s="15" t="s">
        <v>10</v>
      </c>
      <c r="E201" s="16" t="s">
        <v>222</v>
      </c>
      <c r="F201" s="17" t="s">
        <v>12</v>
      </c>
      <c r="G201" s="16"/>
    </row>
    <row r="202" spans="1:7" x14ac:dyDescent="0.55000000000000004">
      <c r="A202" s="14" t="s">
        <v>9</v>
      </c>
      <c r="B202" s="14">
        <v>4</v>
      </c>
      <c r="C202" s="14">
        <v>13</v>
      </c>
      <c r="D202" s="15" t="s">
        <v>10</v>
      </c>
      <c r="E202" s="16" t="s">
        <v>223</v>
      </c>
      <c r="F202" s="17" t="s">
        <v>12</v>
      </c>
      <c r="G202" s="16"/>
    </row>
    <row r="203" spans="1:7" ht="25" customHeight="1" x14ac:dyDescent="0.55000000000000004">
      <c r="A203" s="14" t="s">
        <v>9</v>
      </c>
      <c r="B203" s="14">
        <v>4</v>
      </c>
      <c r="C203" s="14">
        <v>13</v>
      </c>
      <c r="D203" s="15" t="s">
        <v>10</v>
      </c>
      <c r="E203" s="16" t="s">
        <v>224</v>
      </c>
      <c r="F203" s="14"/>
      <c r="G203" s="16"/>
    </row>
    <row r="204" spans="1:7" x14ac:dyDescent="0.55000000000000004">
      <c r="A204" s="14" t="s">
        <v>9</v>
      </c>
      <c r="B204" s="14">
        <v>4</v>
      </c>
      <c r="C204" s="14">
        <v>13</v>
      </c>
      <c r="D204" s="15" t="s">
        <v>20</v>
      </c>
      <c r="E204" s="16" t="s">
        <v>225</v>
      </c>
      <c r="F204" s="14"/>
      <c r="G204" s="16"/>
    </row>
    <row r="205" spans="1:7" ht="25" customHeight="1" x14ac:dyDescent="0.55000000000000004">
      <c r="A205" s="14" t="s">
        <v>9</v>
      </c>
      <c r="B205" s="14">
        <v>4</v>
      </c>
      <c r="C205" s="14">
        <v>13</v>
      </c>
      <c r="D205" s="15" t="s">
        <v>22</v>
      </c>
      <c r="E205" s="16" t="s">
        <v>226</v>
      </c>
      <c r="F205" s="17" t="s">
        <v>227</v>
      </c>
      <c r="G205" s="20" t="s">
        <v>228</v>
      </c>
    </row>
    <row r="206" spans="1:7" x14ac:dyDescent="0.55000000000000004">
      <c r="A206" s="14" t="s">
        <v>9</v>
      </c>
      <c r="B206" s="14">
        <v>4</v>
      </c>
      <c r="C206" s="14">
        <v>13</v>
      </c>
      <c r="D206" s="15" t="s">
        <v>24</v>
      </c>
      <c r="E206" s="16" t="s">
        <v>229</v>
      </c>
      <c r="F206" s="14"/>
      <c r="G206" s="16"/>
    </row>
    <row r="207" spans="1:7" x14ac:dyDescent="0.55000000000000004">
      <c r="A207" s="14" t="s">
        <v>9</v>
      </c>
      <c r="B207" s="14">
        <v>4</v>
      </c>
      <c r="C207" s="14">
        <v>13</v>
      </c>
      <c r="D207" s="15" t="s">
        <v>24</v>
      </c>
      <c r="E207" s="16" t="s">
        <v>230</v>
      </c>
      <c r="F207" s="14"/>
      <c r="G207" s="16"/>
    </row>
    <row r="208" spans="1:7" x14ac:dyDescent="0.55000000000000004">
      <c r="A208" s="14" t="s">
        <v>9</v>
      </c>
      <c r="B208" s="14">
        <v>4</v>
      </c>
      <c r="C208" s="14">
        <v>13</v>
      </c>
      <c r="D208" s="15" t="s">
        <v>27</v>
      </c>
      <c r="E208" s="16" t="s">
        <v>231</v>
      </c>
      <c r="F208" s="14"/>
      <c r="G208" s="16"/>
    </row>
    <row r="209" spans="1:7" x14ac:dyDescent="0.55000000000000004">
      <c r="A209" s="14" t="s">
        <v>9</v>
      </c>
      <c r="B209" s="14">
        <v>4</v>
      </c>
      <c r="C209" s="14">
        <v>13</v>
      </c>
      <c r="D209" s="15" t="s">
        <v>29</v>
      </c>
      <c r="E209" s="16" t="s">
        <v>232</v>
      </c>
      <c r="F209" s="14"/>
      <c r="G209" s="16"/>
    </row>
    <row r="210" spans="1:7" x14ac:dyDescent="0.55000000000000004">
      <c r="A210" s="14" t="s">
        <v>9</v>
      </c>
      <c r="B210" s="14">
        <v>4</v>
      </c>
      <c r="C210" s="14">
        <v>13</v>
      </c>
      <c r="D210" s="15" t="s">
        <v>31</v>
      </c>
      <c r="E210" s="16" t="s">
        <v>32</v>
      </c>
      <c r="F210" s="14"/>
      <c r="G210" s="16"/>
    </row>
    <row r="211" spans="1:7" x14ac:dyDescent="0.55000000000000004">
      <c r="A211" s="14" t="s">
        <v>9</v>
      </c>
      <c r="B211" s="14">
        <v>4</v>
      </c>
      <c r="C211" s="14">
        <v>13</v>
      </c>
      <c r="D211" s="15" t="s">
        <v>31</v>
      </c>
      <c r="E211" s="16" t="s">
        <v>167</v>
      </c>
      <c r="F211" s="14"/>
      <c r="G211" s="16"/>
    </row>
    <row r="212" spans="1:7" ht="41.05" customHeight="1" x14ac:dyDescent="0.55000000000000004">
      <c r="A212" s="21"/>
      <c r="B212" s="21"/>
      <c r="C212" s="21"/>
      <c r="D212" s="22" t="s">
        <v>233</v>
      </c>
      <c r="E212" s="23" t="s">
        <v>234</v>
      </c>
      <c r="F212" s="24"/>
      <c r="G212" s="25"/>
    </row>
    <row r="213" spans="1:7" x14ac:dyDescent="0.55000000000000004">
      <c r="A213" s="14" t="s">
        <v>9</v>
      </c>
      <c r="B213" s="14">
        <v>4</v>
      </c>
      <c r="C213" s="14">
        <v>14</v>
      </c>
      <c r="D213" s="15" t="s">
        <v>10</v>
      </c>
      <c r="E213" s="16" t="s">
        <v>235</v>
      </c>
      <c r="F213" s="17" t="s">
        <v>12</v>
      </c>
      <c r="G213" s="16"/>
    </row>
    <row r="214" spans="1:7" x14ac:dyDescent="0.55000000000000004">
      <c r="A214" s="14" t="s">
        <v>9</v>
      </c>
      <c r="B214" s="14">
        <v>4</v>
      </c>
      <c r="C214" s="14">
        <v>14</v>
      </c>
      <c r="D214" s="15" t="s">
        <v>10</v>
      </c>
      <c r="E214" s="16" t="s">
        <v>236</v>
      </c>
      <c r="F214" s="17" t="s">
        <v>12</v>
      </c>
      <c r="G214" s="16"/>
    </row>
    <row r="215" spans="1:7" x14ac:dyDescent="0.55000000000000004">
      <c r="A215" s="14" t="s">
        <v>9</v>
      </c>
      <c r="B215" s="14">
        <v>4</v>
      </c>
      <c r="C215" s="14">
        <v>14</v>
      </c>
      <c r="D215" s="15" t="s">
        <v>10</v>
      </c>
      <c r="E215" s="16" t="s">
        <v>237</v>
      </c>
      <c r="F215" s="17" t="s">
        <v>12</v>
      </c>
      <c r="G215" s="16"/>
    </row>
    <row r="216" spans="1:7" x14ac:dyDescent="0.55000000000000004">
      <c r="A216" s="14" t="s">
        <v>9</v>
      </c>
      <c r="B216" s="14">
        <v>4</v>
      </c>
      <c r="C216" s="14">
        <v>14</v>
      </c>
      <c r="D216" s="15" t="s">
        <v>10</v>
      </c>
      <c r="E216" s="16" t="s">
        <v>238</v>
      </c>
      <c r="F216" s="17" t="s">
        <v>12</v>
      </c>
      <c r="G216" s="16"/>
    </row>
    <row r="217" spans="1:7" x14ac:dyDescent="0.55000000000000004">
      <c r="A217" s="14" t="s">
        <v>9</v>
      </c>
      <c r="B217" s="14">
        <v>4</v>
      </c>
      <c r="C217" s="14">
        <v>14</v>
      </c>
      <c r="D217" s="15" t="s">
        <v>10</v>
      </c>
      <c r="E217" s="16" t="s">
        <v>239</v>
      </c>
      <c r="F217" s="17" t="s">
        <v>12</v>
      </c>
      <c r="G217" s="16"/>
    </row>
    <row r="218" spans="1:7" x14ac:dyDescent="0.55000000000000004">
      <c r="A218" s="14" t="s">
        <v>9</v>
      </c>
      <c r="B218" s="14">
        <v>4</v>
      </c>
      <c r="C218" s="14">
        <v>14</v>
      </c>
      <c r="D218" s="15" t="s">
        <v>10</v>
      </c>
      <c r="E218" s="16" t="s">
        <v>240</v>
      </c>
      <c r="F218" s="17" t="s">
        <v>12</v>
      </c>
      <c r="G218" s="16"/>
    </row>
    <row r="219" spans="1:7" x14ac:dyDescent="0.55000000000000004">
      <c r="A219" s="14" t="s">
        <v>9</v>
      </c>
      <c r="B219" s="14">
        <v>4</v>
      </c>
      <c r="C219" s="14">
        <v>14</v>
      </c>
      <c r="D219" s="15" t="s">
        <v>10</v>
      </c>
      <c r="E219" s="16" t="s">
        <v>241</v>
      </c>
      <c r="F219" s="17" t="s">
        <v>12</v>
      </c>
      <c r="G219" s="16"/>
    </row>
    <row r="220" spans="1:7" x14ac:dyDescent="0.55000000000000004">
      <c r="A220" s="14" t="s">
        <v>9</v>
      </c>
      <c r="B220" s="14">
        <v>4</v>
      </c>
      <c r="C220" s="14">
        <v>14</v>
      </c>
      <c r="D220" s="15" t="s">
        <v>10</v>
      </c>
      <c r="E220" s="16" t="s">
        <v>242</v>
      </c>
      <c r="F220" s="17" t="s">
        <v>12</v>
      </c>
      <c r="G220" s="16"/>
    </row>
    <row r="221" spans="1:7" x14ac:dyDescent="0.55000000000000004">
      <c r="A221" s="14" t="s">
        <v>9</v>
      </c>
      <c r="B221" s="14">
        <v>4</v>
      </c>
      <c r="C221" s="14">
        <v>14</v>
      </c>
      <c r="D221" s="15" t="s">
        <v>20</v>
      </c>
      <c r="E221" s="16" t="s">
        <v>243</v>
      </c>
      <c r="F221" s="14"/>
      <c r="G221" s="16"/>
    </row>
    <row r="222" spans="1:7" ht="25" customHeight="1" x14ac:dyDescent="0.55000000000000004">
      <c r="A222" s="14" t="s">
        <v>9</v>
      </c>
      <c r="B222" s="14">
        <v>4</v>
      </c>
      <c r="C222" s="14">
        <v>14</v>
      </c>
      <c r="D222" s="15" t="s">
        <v>20</v>
      </c>
      <c r="E222" s="16" t="s">
        <v>244</v>
      </c>
      <c r="F222" s="14"/>
      <c r="G222" s="16"/>
    </row>
    <row r="223" spans="1:7" x14ac:dyDescent="0.55000000000000004">
      <c r="A223" s="14" t="s">
        <v>9</v>
      </c>
      <c r="B223" s="14">
        <v>4</v>
      </c>
      <c r="C223" s="14">
        <v>14</v>
      </c>
      <c r="D223" s="15" t="s">
        <v>22</v>
      </c>
      <c r="E223" s="16" t="s">
        <v>245</v>
      </c>
      <c r="F223" s="17" t="s">
        <v>26</v>
      </c>
      <c r="G223" s="16"/>
    </row>
    <row r="224" spans="1:7" ht="25" customHeight="1" x14ac:dyDescent="0.55000000000000004">
      <c r="A224" s="14" t="s">
        <v>9</v>
      </c>
      <c r="B224" s="14">
        <v>4</v>
      </c>
      <c r="C224" s="14">
        <v>14</v>
      </c>
      <c r="D224" s="15" t="s">
        <v>22</v>
      </c>
      <c r="E224" s="16" t="s">
        <v>246</v>
      </c>
      <c r="F224" s="14"/>
      <c r="G224" s="16"/>
    </row>
    <row r="225" spans="1:7" x14ac:dyDescent="0.55000000000000004">
      <c r="A225" s="14" t="s">
        <v>9</v>
      </c>
      <c r="B225" s="14">
        <v>4</v>
      </c>
      <c r="C225" s="14">
        <v>14</v>
      </c>
      <c r="D225" s="15" t="s">
        <v>24</v>
      </c>
      <c r="E225" s="16" t="s">
        <v>247</v>
      </c>
      <c r="F225" s="14"/>
      <c r="G225" s="16"/>
    </row>
    <row r="226" spans="1:7" x14ac:dyDescent="0.55000000000000004">
      <c r="A226" s="14" t="s">
        <v>9</v>
      </c>
      <c r="B226" s="14">
        <v>4</v>
      </c>
      <c r="C226" s="14">
        <v>14</v>
      </c>
      <c r="D226" s="15" t="s">
        <v>27</v>
      </c>
      <c r="E226" s="16" t="s">
        <v>248</v>
      </c>
      <c r="F226" s="14"/>
      <c r="G226" s="16"/>
    </row>
    <row r="227" spans="1:7" x14ac:dyDescent="0.55000000000000004">
      <c r="A227" s="14" t="s">
        <v>9</v>
      </c>
      <c r="B227" s="14">
        <v>4</v>
      </c>
      <c r="C227" s="14">
        <v>14</v>
      </c>
      <c r="D227" s="15" t="s">
        <v>29</v>
      </c>
      <c r="E227" s="16" t="s">
        <v>249</v>
      </c>
      <c r="F227" s="14"/>
      <c r="G227" s="16"/>
    </row>
    <row r="228" spans="1:7" x14ac:dyDescent="0.55000000000000004">
      <c r="A228" s="14" t="s">
        <v>9</v>
      </c>
      <c r="B228" s="14">
        <v>4</v>
      </c>
      <c r="C228" s="14">
        <v>14</v>
      </c>
      <c r="D228" s="15" t="s">
        <v>31</v>
      </c>
      <c r="E228" s="16" t="s">
        <v>32</v>
      </c>
      <c r="F228" s="14"/>
      <c r="G228" s="16"/>
    </row>
    <row r="229" spans="1:7" x14ac:dyDescent="0.55000000000000004">
      <c r="A229" s="14" t="s">
        <v>9</v>
      </c>
      <c r="B229" s="14">
        <v>4</v>
      </c>
      <c r="C229" s="14">
        <v>14</v>
      </c>
      <c r="D229" s="15" t="s">
        <v>31</v>
      </c>
      <c r="E229" s="16" t="s">
        <v>167</v>
      </c>
      <c r="F229" s="14"/>
      <c r="G229" s="16"/>
    </row>
    <row r="230" spans="1:7" ht="41.5" customHeight="1" x14ac:dyDescent="0.55000000000000004">
      <c r="A230" s="21"/>
      <c r="B230" s="21"/>
      <c r="C230" s="21"/>
      <c r="D230" s="22" t="s">
        <v>250</v>
      </c>
      <c r="E230" s="23" t="s">
        <v>251</v>
      </c>
      <c r="F230" s="24"/>
      <c r="G230" s="25"/>
    </row>
    <row r="231" spans="1:7" x14ac:dyDescent="0.55000000000000004">
      <c r="A231" s="14" t="s">
        <v>9</v>
      </c>
      <c r="B231" s="14">
        <v>4</v>
      </c>
      <c r="C231" s="14">
        <v>15</v>
      </c>
      <c r="D231" s="15" t="s">
        <v>10</v>
      </c>
      <c r="E231" s="16" t="s">
        <v>252</v>
      </c>
      <c r="F231" s="17" t="s">
        <v>12</v>
      </c>
      <c r="G231" s="16"/>
    </row>
    <row r="232" spans="1:7" x14ac:dyDescent="0.55000000000000004">
      <c r="A232" s="14" t="s">
        <v>9</v>
      </c>
      <c r="B232" s="14">
        <v>4</v>
      </c>
      <c r="C232" s="14">
        <v>15</v>
      </c>
      <c r="D232" s="15" t="s">
        <v>10</v>
      </c>
      <c r="E232" s="16" t="s">
        <v>253</v>
      </c>
      <c r="F232" s="17" t="s">
        <v>12</v>
      </c>
      <c r="G232" s="16"/>
    </row>
    <row r="233" spans="1:7" x14ac:dyDescent="0.55000000000000004">
      <c r="A233" s="14" t="s">
        <v>9</v>
      </c>
      <c r="B233" s="14">
        <v>4</v>
      </c>
      <c r="C233" s="14">
        <v>15</v>
      </c>
      <c r="D233" s="15" t="s">
        <v>10</v>
      </c>
      <c r="E233" s="16" t="s">
        <v>254</v>
      </c>
      <c r="F233" s="17" t="s">
        <v>12</v>
      </c>
      <c r="G233" s="16"/>
    </row>
    <row r="234" spans="1:7" x14ac:dyDescent="0.55000000000000004">
      <c r="A234" s="14" t="s">
        <v>9</v>
      </c>
      <c r="B234" s="14">
        <v>4</v>
      </c>
      <c r="C234" s="14">
        <v>15</v>
      </c>
      <c r="D234" s="15" t="s">
        <v>10</v>
      </c>
      <c r="E234" s="16" t="s">
        <v>255</v>
      </c>
      <c r="F234" s="17" t="s">
        <v>12</v>
      </c>
      <c r="G234" s="16"/>
    </row>
    <row r="235" spans="1:7" x14ac:dyDescent="0.55000000000000004">
      <c r="A235" s="14" t="s">
        <v>9</v>
      </c>
      <c r="B235" s="14">
        <v>4</v>
      </c>
      <c r="C235" s="14">
        <v>15</v>
      </c>
      <c r="D235" s="15" t="s">
        <v>10</v>
      </c>
      <c r="E235" s="16" t="s">
        <v>256</v>
      </c>
      <c r="F235" s="17" t="s">
        <v>12</v>
      </c>
      <c r="G235" s="16"/>
    </row>
    <row r="236" spans="1:7" x14ac:dyDescent="0.55000000000000004">
      <c r="A236" s="14" t="s">
        <v>9</v>
      </c>
      <c r="B236" s="14">
        <v>4</v>
      </c>
      <c r="C236" s="14">
        <v>15</v>
      </c>
      <c r="D236" s="15" t="s">
        <v>10</v>
      </c>
      <c r="E236" s="16" t="s">
        <v>257</v>
      </c>
      <c r="F236" s="17" t="s">
        <v>12</v>
      </c>
      <c r="G236" s="16"/>
    </row>
    <row r="237" spans="1:7" x14ac:dyDescent="0.55000000000000004">
      <c r="A237" s="14" t="s">
        <v>9</v>
      </c>
      <c r="B237" s="14">
        <v>4</v>
      </c>
      <c r="C237" s="14">
        <v>15</v>
      </c>
      <c r="D237" s="15" t="s">
        <v>20</v>
      </c>
      <c r="E237" s="16" t="s">
        <v>258</v>
      </c>
      <c r="F237" s="14"/>
      <c r="G237" s="16"/>
    </row>
    <row r="238" spans="1:7" x14ac:dyDescent="0.55000000000000004">
      <c r="A238" s="14" t="s">
        <v>9</v>
      </c>
      <c r="B238" s="14">
        <v>4</v>
      </c>
      <c r="C238" s="14">
        <v>15</v>
      </c>
      <c r="D238" s="15" t="s">
        <v>22</v>
      </c>
      <c r="E238" s="16" t="s">
        <v>259</v>
      </c>
      <c r="F238" s="14"/>
      <c r="G238" s="16"/>
    </row>
    <row r="239" spans="1:7" ht="25" customHeight="1" x14ac:dyDescent="0.55000000000000004">
      <c r="A239" s="14" t="s">
        <v>9</v>
      </c>
      <c r="B239" s="14">
        <v>4</v>
      </c>
      <c r="C239" s="14">
        <v>15</v>
      </c>
      <c r="D239" s="15" t="s">
        <v>22</v>
      </c>
      <c r="E239" s="16" t="s">
        <v>260</v>
      </c>
      <c r="F239" s="14"/>
      <c r="G239" s="16"/>
    </row>
    <row r="240" spans="1:7" x14ac:dyDescent="0.55000000000000004">
      <c r="A240" s="14" t="s">
        <v>9</v>
      </c>
      <c r="B240" s="14">
        <v>4</v>
      </c>
      <c r="C240" s="14">
        <v>15</v>
      </c>
      <c r="D240" s="15" t="s">
        <v>24</v>
      </c>
      <c r="E240" s="16" t="s">
        <v>261</v>
      </c>
      <c r="F240" s="14"/>
      <c r="G240" s="16"/>
    </row>
    <row r="241" spans="1:7" x14ac:dyDescent="0.55000000000000004">
      <c r="A241" s="14" t="s">
        <v>9</v>
      </c>
      <c r="B241" s="14">
        <v>4</v>
      </c>
      <c r="C241" s="14">
        <v>15</v>
      </c>
      <c r="D241" s="15" t="s">
        <v>27</v>
      </c>
      <c r="E241" s="16" t="s">
        <v>262</v>
      </c>
      <c r="F241" s="14"/>
      <c r="G241" s="16"/>
    </row>
    <row r="242" spans="1:7" ht="25" customHeight="1" x14ac:dyDescent="0.55000000000000004">
      <c r="A242" s="14" t="s">
        <v>9</v>
      </c>
      <c r="B242" s="14">
        <v>4</v>
      </c>
      <c r="C242" s="14">
        <v>15</v>
      </c>
      <c r="D242" s="15" t="s">
        <v>27</v>
      </c>
      <c r="E242" s="16" t="s">
        <v>263</v>
      </c>
      <c r="F242" s="14"/>
      <c r="G242" s="16"/>
    </row>
    <row r="243" spans="1:7" x14ac:dyDescent="0.55000000000000004">
      <c r="A243" s="14" t="s">
        <v>9</v>
      </c>
      <c r="B243" s="14">
        <v>4</v>
      </c>
      <c r="C243" s="14">
        <v>15</v>
      </c>
      <c r="D243" s="15" t="s">
        <v>29</v>
      </c>
      <c r="E243" s="16" t="s">
        <v>264</v>
      </c>
      <c r="F243" s="14"/>
      <c r="G243" s="16"/>
    </row>
    <row r="244" spans="1:7" x14ac:dyDescent="0.55000000000000004">
      <c r="A244" s="14" t="s">
        <v>9</v>
      </c>
      <c r="B244" s="14">
        <v>4</v>
      </c>
      <c r="C244" s="14">
        <v>15</v>
      </c>
      <c r="D244" s="15" t="s">
        <v>31</v>
      </c>
      <c r="E244" s="16" t="s">
        <v>32</v>
      </c>
      <c r="F244" s="14"/>
      <c r="G244" s="16"/>
    </row>
    <row r="245" spans="1:7" x14ac:dyDescent="0.55000000000000004">
      <c r="A245" s="14" t="s">
        <v>9</v>
      </c>
      <c r="B245" s="14">
        <v>4</v>
      </c>
      <c r="C245" s="14">
        <v>15</v>
      </c>
      <c r="D245" s="15" t="s">
        <v>31</v>
      </c>
      <c r="E245" s="16" t="s">
        <v>167</v>
      </c>
      <c r="F245" s="14"/>
      <c r="G245" s="16"/>
    </row>
    <row r="246" spans="1:7" x14ac:dyDescent="0.55000000000000004">
      <c r="A246" s="14" t="s">
        <v>9</v>
      </c>
      <c r="B246" s="14">
        <v>4</v>
      </c>
      <c r="C246" s="14">
        <v>15</v>
      </c>
      <c r="D246" s="15" t="s">
        <v>116</v>
      </c>
      <c r="E246" s="16" t="s">
        <v>265</v>
      </c>
      <c r="F246" s="14"/>
      <c r="G246" s="16"/>
    </row>
    <row r="247" spans="1:7" x14ac:dyDescent="0.55000000000000004">
      <c r="A247" s="14" t="s">
        <v>9</v>
      </c>
      <c r="B247" s="14">
        <v>4</v>
      </c>
      <c r="C247" s="14">
        <v>15</v>
      </c>
      <c r="D247" s="15" t="s">
        <v>33</v>
      </c>
      <c r="E247" s="16" t="s">
        <v>266</v>
      </c>
      <c r="F247" s="14"/>
      <c r="G247" s="16"/>
    </row>
    <row r="248" spans="1:7" ht="42" customHeight="1" x14ac:dyDescent="0.55000000000000004">
      <c r="A248" s="21"/>
      <c r="B248" s="21"/>
      <c r="C248" s="21"/>
      <c r="D248" s="22" t="s">
        <v>267</v>
      </c>
      <c r="E248" s="23" t="s">
        <v>268</v>
      </c>
      <c r="F248" s="24"/>
      <c r="G248" s="25"/>
    </row>
    <row r="249" spans="1:7" x14ac:dyDescent="0.55000000000000004">
      <c r="A249" s="14" t="s">
        <v>9</v>
      </c>
      <c r="B249" s="14">
        <v>4</v>
      </c>
      <c r="C249" s="14">
        <v>16</v>
      </c>
      <c r="D249" s="15" t="s">
        <v>10</v>
      </c>
      <c r="E249" s="16" t="s">
        <v>269</v>
      </c>
      <c r="F249" s="17" t="s">
        <v>12</v>
      </c>
      <c r="G249" s="16"/>
    </row>
    <row r="250" spans="1:7" x14ac:dyDescent="0.55000000000000004">
      <c r="A250" s="14" t="s">
        <v>9</v>
      </c>
      <c r="B250" s="14">
        <v>4</v>
      </c>
      <c r="C250" s="14">
        <v>16</v>
      </c>
      <c r="D250" s="15" t="s">
        <v>10</v>
      </c>
      <c r="E250" s="16" t="s">
        <v>270</v>
      </c>
      <c r="F250" s="17" t="s">
        <v>12</v>
      </c>
      <c r="G250" s="16"/>
    </row>
    <row r="251" spans="1:7" x14ac:dyDescent="0.55000000000000004">
      <c r="A251" s="14" t="s">
        <v>9</v>
      </c>
      <c r="B251" s="14">
        <v>4</v>
      </c>
      <c r="C251" s="14">
        <v>16</v>
      </c>
      <c r="D251" s="15" t="s">
        <v>10</v>
      </c>
      <c r="E251" s="16" t="s">
        <v>271</v>
      </c>
      <c r="F251" s="17" t="s">
        <v>12</v>
      </c>
      <c r="G251" s="16"/>
    </row>
    <row r="252" spans="1:7" x14ac:dyDescent="0.55000000000000004">
      <c r="A252" s="14" t="s">
        <v>9</v>
      </c>
      <c r="B252" s="14">
        <v>4</v>
      </c>
      <c r="C252" s="14">
        <v>16</v>
      </c>
      <c r="D252" s="15" t="s">
        <v>10</v>
      </c>
      <c r="E252" s="16" t="s">
        <v>272</v>
      </c>
      <c r="F252" s="17" t="s">
        <v>12</v>
      </c>
      <c r="G252" s="16"/>
    </row>
    <row r="253" spans="1:7" ht="25" customHeight="1" x14ac:dyDescent="0.55000000000000004">
      <c r="A253" s="14" t="s">
        <v>9</v>
      </c>
      <c r="B253" s="14">
        <v>4</v>
      </c>
      <c r="C253" s="14">
        <v>16</v>
      </c>
      <c r="D253" s="15" t="s">
        <v>10</v>
      </c>
      <c r="E253" s="16" t="s">
        <v>273</v>
      </c>
      <c r="F253" s="14"/>
      <c r="G253" s="16"/>
    </row>
    <row r="254" spans="1:7" x14ac:dyDescent="0.55000000000000004">
      <c r="A254" s="14" t="s">
        <v>9</v>
      </c>
      <c r="B254" s="14">
        <v>4</v>
      </c>
      <c r="C254" s="14">
        <v>16</v>
      </c>
      <c r="D254" s="15" t="s">
        <v>10</v>
      </c>
      <c r="E254" s="16" t="s">
        <v>274</v>
      </c>
      <c r="F254" s="17" t="s">
        <v>12</v>
      </c>
      <c r="G254" s="16"/>
    </row>
    <row r="255" spans="1:7" x14ac:dyDescent="0.55000000000000004">
      <c r="A255" s="14" t="s">
        <v>9</v>
      </c>
      <c r="B255" s="14">
        <v>4</v>
      </c>
      <c r="C255" s="14">
        <v>16</v>
      </c>
      <c r="D255" s="15" t="s">
        <v>10</v>
      </c>
      <c r="E255" s="16" t="s">
        <v>275</v>
      </c>
      <c r="F255" s="17" t="s">
        <v>12</v>
      </c>
      <c r="G255" s="16"/>
    </row>
    <row r="256" spans="1:7" x14ac:dyDescent="0.55000000000000004">
      <c r="A256" s="14" t="s">
        <v>9</v>
      </c>
      <c r="B256" s="14">
        <v>4</v>
      </c>
      <c r="C256" s="14">
        <v>16</v>
      </c>
      <c r="D256" s="15" t="s">
        <v>10</v>
      </c>
      <c r="E256" s="16" t="s">
        <v>276</v>
      </c>
      <c r="F256" s="17" t="s">
        <v>12</v>
      </c>
      <c r="G256" s="16"/>
    </row>
    <row r="257" spans="1:7" x14ac:dyDescent="0.55000000000000004">
      <c r="A257" s="14" t="s">
        <v>9</v>
      </c>
      <c r="B257" s="14">
        <v>4</v>
      </c>
      <c r="C257" s="14">
        <v>16</v>
      </c>
      <c r="D257" s="15" t="s">
        <v>10</v>
      </c>
      <c r="E257" s="16" t="s">
        <v>277</v>
      </c>
      <c r="F257" s="17" t="s">
        <v>12</v>
      </c>
      <c r="G257" s="16"/>
    </row>
    <row r="258" spans="1:7" x14ac:dyDescent="0.55000000000000004">
      <c r="A258" s="14" t="s">
        <v>9</v>
      </c>
      <c r="B258" s="14">
        <v>4</v>
      </c>
      <c r="C258" s="14">
        <v>16</v>
      </c>
      <c r="D258" s="15" t="s">
        <v>10</v>
      </c>
      <c r="E258" s="16" t="s">
        <v>278</v>
      </c>
      <c r="F258" s="17" t="s">
        <v>12</v>
      </c>
      <c r="G258" s="16"/>
    </row>
    <row r="259" spans="1:7" x14ac:dyDescent="0.55000000000000004">
      <c r="A259" s="14" t="s">
        <v>9</v>
      </c>
      <c r="B259" s="14">
        <v>4</v>
      </c>
      <c r="C259" s="14">
        <v>16</v>
      </c>
      <c r="D259" s="15" t="s">
        <v>20</v>
      </c>
      <c r="E259" s="16" t="s">
        <v>279</v>
      </c>
      <c r="F259" s="17" t="s">
        <v>95</v>
      </c>
      <c r="G259" s="20" t="s">
        <v>280</v>
      </c>
    </row>
    <row r="260" spans="1:7" x14ac:dyDescent="0.55000000000000004">
      <c r="A260" s="14" t="s">
        <v>9</v>
      </c>
      <c r="B260" s="14">
        <v>4</v>
      </c>
      <c r="C260" s="14">
        <v>16</v>
      </c>
      <c r="D260" s="15" t="s">
        <v>22</v>
      </c>
      <c r="E260" s="16" t="s">
        <v>281</v>
      </c>
      <c r="F260" s="14"/>
      <c r="G260" s="16"/>
    </row>
    <row r="261" spans="1:7" x14ac:dyDescent="0.55000000000000004">
      <c r="A261" s="14" t="s">
        <v>9</v>
      </c>
      <c r="B261" s="14">
        <v>4</v>
      </c>
      <c r="C261" s="14">
        <v>16</v>
      </c>
      <c r="D261" s="15" t="s">
        <v>24</v>
      </c>
      <c r="E261" s="16" t="s">
        <v>282</v>
      </c>
      <c r="F261" s="14"/>
      <c r="G261" s="16"/>
    </row>
    <row r="262" spans="1:7" x14ac:dyDescent="0.55000000000000004">
      <c r="A262" s="14" t="s">
        <v>9</v>
      </c>
      <c r="B262" s="14">
        <v>4</v>
      </c>
      <c r="C262" s="14">
        <v>16</v>
      </c>
      <c r="D262" s="15" t="s">
        <v>24</v>
      </c>
      <c r="E262" s="16" t="s">
        <v>283</v>
      </c>
      <c r="F262" s="17" t="s">
        <v>95</v>
      </c>
      <c r="G262" s="16"/>
    </row>
    <row r="263" spans="1:7" x14ac:dyDescent="0.55000000000000004">
      <c r="A263" s="14" t="s">
        <v>9</v>
      </c>
      <c r="B263" s="14">
        <v>4</v>
      </c>
      <c r="C263" s="14">
        <v>16</v>
      </c>
      <c r="D263" s="15" t="s">
        <v>27</v>
      </c>
      <c r="E263" s="16" t="s">
        <v>284</v>
      </c>
      <c r="F263" s="14"/>
      <c r="G263" s="16"/>
    </row>
    <row r="264" spans="1:7" x14ac:dyDescent="0.55000000000000004">
      <c r="A264" s="14" t="s">
        <v>9</v>
      </c>
      <c r="B264" s="14">
        <v>4</v>
      </c>
      <c r="C264" s="14">
        <v>16</v>
      </c>
      <c r="D264" s="15" t="s">
        <v>29</v>
      </c>
      <c r="E264" s="16" t="s">
        <v>285</v>
      </c>
      <c r="F264" s="14"/>
      <c r="G264" s="16"/>
    </row>
    <row r="265" spans="1:7" x14ac:dyDescent="0.55000000000000004">
      <c r="A265" s="14" t="s">
        <v>9</v>
      </c>
      <c r="B265" s="14">
        <v>4</v>
      </c>
      <c r="C265" s="14">
        <v>16</v>
      </c>
      <c r="D265" s="15" t="s">
        <v>31</v>
      </c>
      <c r="E265" s="16" t="s">
        <v>32</v>
      </c>
      <c r="F265" s="14"/>
      <c r="G265" s="16"/>
    </row>
    <row r="266" spans="1:7" x14ac:dyDescent="0.55000000000000004">
      <c r="A266" s="14" t="s">
        <v>9</v>
      </c>
      <c r="B266" s="14">
        <v>4</v>
      </c>
      <c r="C266" s="14">
        <v>16</v>
      </c>
      <c r="D266" s="15" t="s">
        <v>31</v>
      </c>
      <c r="E266" s="16" t="s">
        <v>167</v>
      </c>
      <c r="F266" s="14"/>
      <c r="G266" s="16"/>
    </row>
    <row r="267" spans="1:7" ht="25" customHeight="1" x14ac:dyDescent="0.55000000000000004">
      <c r="A267" s="14" t="s">
        <v>9</v>
      </c>
      <c r="B267" s="14">
        <v>4</v>
      </c>
      <c r="C267" s="14">
        <v>16</v>
      </c>
      <c r="D267" s="15" t="s">
        <v>33</v>
      </c>
      <c r="E267" s="16" t="s">
        <v>286</v>
      </c>
      <c r="F267" s="14"/>
      <c r="G267" s="16"/>
    </row>
    <row r="268" spans="1:7" ht="52.5" customHeight="1" x14ac:dyDescent="0.55000000000000004">
      <c r="A268" s="21"/>
      <c r="B268" s="21"/>
      <c r="C268" s="21"/>
      <c r="D268" s="22" t="s">
        <v>287</v>
      </c>
      <c r="E268" s="23" t="s">
        <v>288</v>
      </c>
      <c r="F268" s="24"/>
      <c r="G268" s="25"/>
    </row>
    <row r="269" spans="1:7" x14ac:dyDescent="0.55000000000000004">
      <c r="A269" s="14" t="s">
        <v>9</v>
      </c>
      <c r="B269" s="14">
        <v>5</v>
      </c>
      <c r="C269" s="14">
        <v>17</v>
      </c>
      <c r="D269" s="15" t="s">
        <v>10</v>
      </c>
      <c r="E269" s="16" t="s">
        <v>289</v>
      </c>
      <c r="F269" s="17" t="s">
        <v>12</v>
      </c>
      <c r="G269" s="16"/>
    </row>
    <row r="270" spans="1:7" x14ac:dyDescent="0.55000000000000004">
      <c r="A270" s="14" t="s">
        <v>9</v>
      </c>
      <c r="B270" s="14">
        <v>5</v>
      </c>
      <c r="C270" s="14">
        <v>17</v>
      </c>
      <c r="D270" s="15" t="s">
        <v>10</v>
      </c>
      <c r="E270" s="16" t="s">
        <v>290</v>
      </c>
      <c r="F270" s="17" t="s">
        <v>12</v>
      </c>
      <c r="G270" s="16"/>
    </row>
    <row r="271" spans="1:7" x14ac:dyDescent="0.55000000000000004">
      <c r="A271" s="14" t="s">
        <v>9</v>
      </c>
      <c r="B271" s="14">
        <v>5</v>
      </c>
      <c r="C271" s="14">
        <v>17</v>
      </c>
      <c r="D271" s="15" t="s">
        <v>10</v>
      </c>
      <c r="E271" s="16" t="s">
        <v>291</v>
      </c>
      <c r="F271" s="17" t="s">
        <v>12</v>
      </c>
      <c r="G271" s="16"/>
    </row>
    <row r="272" spans="1:7" x14ac:dyDescent="0.55000000000000004">
      <c r="A272" s="14" t="s">
        <v>9</v>
      </c>
      <c r="B272" s="14">
        <v>5</v>
      </c>
      <c r="C272" s="14">
        <v>17</v>
      </c>
      <c r="D272" s="15" t="s">
        <v>10</v>
      </c>
      <c r="E272" s="16" t="s">
        <v>292</v>
      </c>
      <c r="F272" s="17" t="s">
        <v>12</v>
      </c>
      <c r="G272" s="16"/>
    </row>
    <row r="273" spans="1:7" ht="25" customHeight="1" x14ac:dyDescent="0.55000000000000004">
      <c r="A273" s="14" t="s">
        <v>9</v>
      </c>
      <c r="B273" s="14">
        <v>5</v>
      </c>
      <c r="C273" s="14">
        <v>17</v>
      </c>
      <c r="D273" s="15" t="s">
        <v>20</v>
      </c>
      <c r="E273" s="16" t="s">
        <v>293</v>
      </c>
      <c r="F273" s="17" t="s">
        <v>95</v>
      </c>
      <c r="G273" s="16"/>
    </row>
    <row r="274" spans="1:7" x14ac:dyDescent="0.55000000000000004">
      <c r="A274" s="14" t="s">
        <v>9</v>
      </c>
      <c r="B274" s="14">
        <v>5</v>
      </c>
      <c r="C274" s="14">
        <v>17</v>
      </c>
      <c r="D274" s="15" t="s">
        <v>22</v>
      </c>
      <c r="E274" s="16" t="s">
        <v>294</v>
      </c>
      <c r="F274" s="14"/>
      <c r="G274" s="16"/>
    </row>
    <row r="275" spans="1:7" x14ac:dyDescent="0.55000000000000004">
      <c r="A275" s="14" t="s">
        <v>9</v>
      </c>
      <c r="B275" s="14">
        <v>5</v>
      </c>
      <c r="C275" s="14">
        <v>17</v>
      </c>
      <c r="D275" s="15" t="s">
        <v>24</v>
      </c>
      <c r="E275" s="16" t="s">
        <v>295</v>
      </c>
      <c r="F275" s="14"/>
      <c r="G275" s="16"/>
    </row>
    <row r="276" spans="1:7" x14ac:dyDescent="0.55000000000000004">
      <c r="A276" s="14" t="s">
        <v>9</v>
      </c>
      <c r="B276" s="14">
        <v>5</v>
      </c>
      <c r="C276" s="14">
        <v>17</v>
      </c>
      <c r="D276" s="15" t="s">
        <v>24</v>
      </c>
      <c r="E276" s="16" t="s">
        <v>296</v>
      </c>
      <c r="F276" s="14"/>
      <c r="G276" s="16"/>
    </row>
    <row r="277" spans="1:7" x14ac:dyDescent="0.55000000000000004">
      <c r="A277" s="14" t="s">
        <v>9</v>
      </c>
      <c r="B277" s="14">
        <v>5</v>
      </c>
      <c r="C277" s="14">
        <v>17</v>
      </c>
      <c r="D277" s="15" t="s">
        <v>27</v>
      </c>
      <c r="E277" s="16" t="s">
        <v>297</v>
      </c>
      <c r="F277" s="14"/>
      <c r="G277" s="16"/>
    </row>
    <row r="278" spans="1:7" x14ac:dyDescent="0.55000000000000004">
      <c r="A278" s="14" t="s">
        <v>9</v>
      </c>
      <c r="B278" s="14">
        <v>5</v>
      </c>
      <c r="C278" s="14">
        <v>17</v>
      </c>
      <c r="D278" s="15" t="s">
        <v>27</v>
      </c>
      <c r="E278" s="16" t="s">
        <v>298</v>
      </c>
      <c r="F278" s="14"/>
      <c r="G278" s="16"/>
    </row>
    <row r="279" spans="1:7" ht="25" customHeight="1" x14ac:dyDescent="0.55000000000000004">
      <c r="A279" s="14" t="s">
        <v>9</v>
      </c>
      <c r="B279" s="14">
        <v>5</v>
      </c>
      <c r="C279" s="14">
        <v>17</v>
      </c>
      <c r="D279" s="15" t="s">
        <v>29</v>
      </c>
      <c r="E279" s="16" t="s">
        <v>299</v>
      </c>
      <c r="F279" s="14"/>
      <c r="G279" s="16"/>
    </row>
    <row r="280" spans="1:7" x14ac:dyDescent="0.55000000000000004">
      <c r="A280" s="14" t="s">
        <v>9</v>
      </c>
      <c r="B280" s="14">
        <v>5</v>
      </c>
      <c r="C280" s="14">
        <v>17</v>
      </c>
      <c r="D280" s="15" t="s">
        <v>31</v>
      </c>
      <c r="E280" s="16" t="s">
        <v>32</v>
      </c>
      <c r="F280" s="14"/>
      <c r="G280" s="16"/>
    </row>
    <row r="281" spans="1:7" x14ac:dyDescent="0.55000000000000004">
      <c r="A281" s="14" t="s">
        <v>9</v>
      </c>
      <c r="B281" s="14">
        <v>5</v>
      </c>
      <c r="C281" s="14">
        <v>17</v>
      </c>
      <c r="D281" s="15" t="s">
        <v>31</v>
      </c>
      <c r="E281" s="16" t="s">
        <v>300</v>
      </c>
      <c r="F281" s="14"/>
      <c r="G281" s="16"/>
    </row>
    <row r="282" spans="1:7" ht="41.05" customHeight="1" x14ac:dyDescent="0.55000000000000004">
      <c r="A282" s="21"/>
      <c r="B282" s="21"/>
      <c r="C282" s="21"/>
      <c r="D282" s="22" t="s">
        <v>301</v>
      </c>
      <c r="E282" s="23" t="s">
        <v>302</v>
      </c>
      <c r="F282" s="24"/>
      <c r="G282" s="25"/>
    </row>
    <row r="283" spans="1:7" x14ac:dyDescent="0.55000000000000004">
      <c r="A283" s="14" t="s">
        <v>9</v>
      </c>
      <c r="B283" s="14">
        <v>5</v>
      </c>
      <c r="C283" s="14">
        <v>18</v>
      </c>
      <c r="D283" s="15" t="s">
        <v>10</v>
      </c>
      <c r="E283" s="16" t="s">
        <v>303</v>
      </c>
      <c r="F283" s="17" t="s">
        <v>12</v>
      </c>
      <c r="G283" s="16"/>
    </row>
    <row r="284" spans="1:7" x14ac:dyDescent="0.55000000000000004">
      <c r="A284" s="14" t="s">
        <v>9</v>
      </c>
      <c r="B284" s="14">
        <v>5</v>
      </c>
      <c r="C284" s="14">
        <v>18</v>
      </c>
      <c r="D284" s="15" t="s">
        <v>10</v>
      </c>
      <c r="E284" s="16" t="s">
        <v>304</v>
      </c>
      <c r="F284" s="17" t="s">
        <v>12</v>
      </c>
      <c r="G284" s="16"/>
    </row>
    <row r="285" spans="1:7" x14ac:dyDescent="0.55000000000000004">
      <c r="A285" s="14" t="s">
        <v>9</v>
      </c>
      <c r="B285" s="14">
        <v>5</v>
      </c>
      <c r="C285" s="14">
        <v>18</v>
      </c>
      <c r="D285" s="15" t="s">
        <v>10</v>
      </c>
      <c r="E285" s="16" t="s">
        <v>305</v>
      </c>
      <c r="F285" s="17" t="s">
        <v>12</v>
      </c>
      <c r="G285" s="16"/>
    </row>
    <row r="286" spans="1:7" x14ac:dyDescent="0.55000000000000004">
      <c r="A286" s="14" t="s">
        <v>9</v>
      </c>
      <c r="B286" s="14">
        <v>5</v>
      </c>
      <c r="C286" s="14">
        <v>18</v>
      </c>
      <c r="D286" s="15" t="s">
        <v>10</v>
      </c>
      <c r="E286" s="16" t="s">
        <v>306</v>
      </c>
      <c r="F286" s="17" t="s">
        <v>12</v>
      </c>
      <c r="G286" s="16"/>
    </row>
    <row r="287" spans="1:7" x14ac:dyDescent="0.55000000000000004">
      <c r="A287" s="14" t="s">
        <v>9</v>
      </c>
      <c r="B287" s="14">
        <v>5</v>
      </c>
      <c r="C287" s="14">
        <v>18</v>
      </c>
      <c r="D287" s="15" t="s">
        <v>20</v>
      </c>
      <c r="E287" s="16" t="s">
        <v>307</v>
      </c>
      <c r="F287" s="14"/>
      <c r="G287" s="16"/>
    </row>
    <row r="288" spans="1:7" x14ac:dyDescent="0.55000000000000004">
      <c r="A288" s="14" t="s">
        <v>9</v>
      </c>
      <c r="B288" s="14">
        <v>5</v>
      </c>
      <c r="C288" s="14">
        <v>18</v>
      </c>
      <c r="D288" s="15" t="s">
        <v>22</v>
      </c>
      <c r="E288" s="16" t="s">
        <v>308</v>
      </c>
      <c r="F288" s="17" t="s">
        <v>26</v>
      </c>
      <c r="G288" s="16"/>
    </row>
    <row r="289" spans="1:7" x14ac:dyDescent="0.55000000000000004">
      <c r="A289" s="14" t="s">
        <v>9</v>
      </c>
      <c r="B289" s="14">
        <v>5</v>
      </c>
      <c r="C289" s="14">
        <v>18</v>
      </c>
      <c r="D289" s="15" t="s">
        <v>24</v>
      </c>
      <c r="E289" s="16" t="s">
        <v>309</v>
      </c>
      <c r="F289" s="14"/>
      <c r="G289" s="16"/>
    </row>
    <row r="290" spans="1:7" x14ac:dyDescent="0.55000000000000004">
      <c r="A290" s="14" t="s">
        <v>9</v>
      </c>
      <c r="B290" s="14">
        <v>5</v>
      </c>
      <c r="C290" s="14">
        <v>18</v>
      </c>
      <c r="D290" s="15" t="s">
        <v>27</v>
      </c>
      <c r="E290" s="16" t="s">
        <v>310</v>
      </c>
      <c r="F290" s="14"/>
      <c r="G290" s="16"/>
    </row>
    <row r="291" spans="1:7" x14ac:dyDescent="0.55000000000000004">
      <c r="A291" s="14" t="s">
        <v>9</v>
      </c>
      <c r="B291" s="14">
        <v>5</v>
      </c>
      <c r="C291" s="14">
        <v>18</v>
      </c>
      <c r="D291" s="15" t="s">
        <v>27</v>
      </c>
      <c r="E291" s="16" t="s">
        <v>311</v>
      </c>
      <c r="F291" s="14"/>
      <c r="G291" s="16"/>
    </row>
    <row r="292" spans="1:7" x14ac:dyDescent="0.55000000000000004">
      <c r="A292" s="14" t="s">
        <v>9</v>
      </c>
      <c r="B292" s="14">
        <v>5</v>
      </c>
      <c r="C292" s="14">
        <v>18</v>
      </c>
      <c r="D292" s="15" t="s">
        <v>31</v>
      </c>
      <c r="E292" s="16" t="s">
        <v>32</v>
      </c>
      <c r="F292" s="14"/>
      <c r="G292" s="16"/>
    </row>
    <row r="293" spans="1:7" x14ac:dyDescent="0.55000000000000004">
      <c r="A293" s="14" t="s">
        <v>9</v>
      </c>
      <c r="B293" s="14">
        <v>5</v>
      </c>
      <c r="C293" s="14">
        <v>18</v>
      </c>
      <c r="D293" s="15" t="s">
        <v>31</v>
      </c>
      <c r="E293" s="16" t="s">
        <v>300</v>
      </c>
      <c r="F293" s="14"/>
      <c r="G293" s="16"/>
    </row>
    <row r="294" spans="1:7" x14ac:dyDescent="0.55000000000000004">
      <c r="A294" s="14" t="s">
        <v>9</v>
      </c>
      <c r="B294" s="14">
        <v>5</v>
      </c>
      <c r="C294" s="14">
        <v>18</v>
      </c>
      <c r="D294" s="15" t="s">
        <v>116</v>
      </c>
      <c r="E294" s="16" t="s">
        <v>312</v>
      </c>
      <c r="F294" s="14"/>
      <c r="G294" s="16"/>
    </row>
    <row r="295" spans="1:7" ht="54.55" customHeight="1" x14ac:dyDescent="0.55000000000000004">
      <c r="A295" s="21"/>
      <c r="B295" s="21"/>
      <c r="C295" s="21"/>
      <c r="D295" s="22" t="s">
        <v>313</v>
      </c>
      <c r="E295" s="23" t="s">
        <v>314</v>
      </c>
      <c r="F295" s="24"/>
      <c r="G295" s="25"/>
    </row>
    <row r="296" spans="1:7" x14ac:dyDescent="0.55000000000000004">
      <c r="A296" s="14" t="s">
        <v>9</v>
      </c>
      <c r="B296" s="14">
        <v>5</v>
      </c>
      <c r="C296" s="14">
        <v>19</v>
      </c>
      <c r="D296" s="15" t="s">
        <v>10</v>
      </c>
      <c r="E296" s="16" t="s">
        <v>315</v>
      </c>
      <c r="F296" s="17" t="s">
        <v>12</v>
      </c>
      <c r="G296" s="16"/>
    </row>
    <row r="297" spans="1:7" x14ac:dyDescent="0.55000000000000004">
      <c r="A297" s="14" t="s">
        <v>9</v>
      </c>
      <c r="B297" s="14">
        <v>5</v>
      </c>
      <c r="C297" s="14">
        <v>19</v>
      </c>
      <c r="D297" s="15" t="s">
        <v>10</v>
      </c>
      <c r="E297" s="16" t="s">
        <v>316</v>
      </c>
      <c r="F297" s="17" t="s">
        <v>12</v>
      </c>
      <c r="G297" s="16"/>
    </row>
    <row r="298" spans="1:7" x14ac:dyDescent="0.55000000000000004">
      <c r="A298" s="14" t="s">
        <v>9</v>
      </c>
      <c r="B298" s="14">
        <v>5</v>
      </c>
      <c r="C298" s="14">
        <v>19</v>
      </c>
      <c r="D298" s="15" t="s">
        <v>10</v>
      </c>
      <c r="E298" s="16" t="s">
        <v>317</v>
      </c>
      <c r="F298" s="17" t="s">
        <v>12</v>
      </c>
      <c r="G298" s="16"/>
    </row>
    <row r="299" spans="1:7" x14ac:dyDescent="0.55000000000000004">
      <c r="A299" s="14" t="s">
        <v>9</v>
      </c>
      <c r="B299" s="14">
        <v>5</v>
      </c>
      <c r="C299" s="14">
        <v>19</v>
      </c>
      <c r="D299" s="15" t="s">
        <v>10</v>
      </c>
      <c r="E299" s="16" t="s">
        <v>318</v>
      </c>
      <c r="F299" s="17" t="s">
        <v>12</v>
      </c>
      <c r="G299" s="16"/>
    </row>
    <row r="300" spans="1:7" x14ac:dyDescent="0.55000000000000004">
      <c r="A300" s="14" t="s">
        <v>9</v>
      </c>
      <c r="B300" s="14">
        <v>5</v>
      </c>
      <c r="C300" s="14">
        <v>19</v>
      </c>
      <c r="D300" s="15" t="s">
        <v>10</v>
      </c>
      <c r="E300" s="16" t="s">
        <v>319</v>
      </c>
      <c r="F300" s="17" t="s">
        <v>12</v>
      </c>
      <c r="G300" s="16"/>
    </row>
    <row r="301" spans="1:7" x14ac:dyDescent="0.55000000000000004">
      <c r="A301" s="14" t="s">
        <v>9</v>
      </c>
      <c r="B301" s="14">
        <v>5</v>
      </c>
      <c r="C301" s="14">
        <v>19</v>
      </c>
      <c r="D301" s="15" t="s">
        <v>10</v>
      </c>
      <c r="E301" s="16" t="s">
        <v>320</v>
      </c>
      <c r="F301" s="17" t="s">
        <v>12</v>
      </c>
      <c r="G301" s="16"/>
    </row>
    <row r="302" spans="1:7" x14ac:dyDescent="0.55000000000000004">
      <c r="A302" s="14" t="s">
        <v>9</v>
      </c>
      <c r="B302" s="14">
        <v>5</v>
      </c>
      <c r="C302" s="14">
        <v>19</v>
      </c>
      <c r="D302" s="15" t="s">
        <v>10</v>
      </c>
      <c r="E302" s="16" t="s">
        <v>321</v>
      </c>
      <c r="F302" s="17" t="s">
        <v>12</v>
      </c>
      <c r="G302" s="16"/>
    </row>
    <row r="303" spans="1:7" x14ac:dyDescent="0.55000000000000004">
      <c r="A303" s="14" t="s">
        <v>9</v>
      </c>
      <c r="B303" s="14">
        <v>5</v>
      </c>
      <c r="C303" s="14">
        <v>19</v>
      </c>
      <c r="D303" s="15" t="s">
        <v>10</v>
      </c>
      <c r="E303" s="16" t="s">
        <v>322</v>
      </c>
      <c r="F303" s="17" t="s">
        <v>12</v>
      </c>
      <c r="G303" s="16"/>
    </row>
    <row r="304" spans="1:7" x14ac:dyDescent="0.55000000000000004">
      <c r="A304" s="14" t="s">
        <v>9</v>
      </c>
      <c r="B304" s="14">
        <v>5</v>
      </c>
      <c r="C304" s="14">
        <v>19</v>
      </c>
      <c r="D304" s="15" t="s">
        <v>10</v>
      </c>
      <c r="E304" s="16" t="s">
        <v>323</v>
      </c>
      <c r="F304" s="17" t="s">
        <v>12</v>
      </c>
      <c r="G304" s="16"/>
    </row>
    <row r="305" spans="1:7" x14ac:dyDescent="0.55000000000000004">
      <c r="A305" s="14" t="s">
        <v>9</v>
      </c>
      <c r="B305" s="14">
        <v>5</v>
      </c>
      <c r="C305" s="14">
        <v>19</v>
      </c>
      <c r="D305" s="15" t="s">
        <v>10</v>
      </c>
      <c r="E305" s="16" t="s">
        <v>324</v>
      </c>
      <c r="F305" s="17" t="s">
        <v>12</v>
      </c>
      <c r="G305" s="16"/>
    </row>
    <row r="306" spans="1:7" x14ac:dyDescent="0.55000000000000004">
      <c r="A306" s="14" t="s">
        <v>9</v>
      </c>
      <c r="B306" s="14">
        <v>5</v>
      </c>
      <c r="C306" s="14">
        <v>19</v>
      </c>
      <c r="D306" s="15" t="s">
        <v>10</v>
      </c>
      <c r="E306" s="16" t="s">
        <v>325</v>
      </c>
      <c r="F306" s="17" t="s">
        <v>12</v>
      </c>
      <c r="G306" s="16"/>
    </row>
    <row r="307" spans="1:7" x14ac:dyDescent="0.55000000000000004">
      <c r="A307" s="14" t="s">
        <v>9</v>
      </c>
      <c r="B307" s="14">
        <v>5</v>
      </c>
      <c r="C307" s="14">
        <v>19</v>
      </c>
      <c r="D307" s="15" t="s">
        <v>10</v>
      </c>
      <c r="E307" s="16" t="s">
        <v>326</v>
      </c>
      <c r="F307" s="17" t="s">
        <v>12</v>
      </c>
      <c r="G307" s="16"/>
    </row>
    <row r="308" spans="1:7" x14ac:dyDescent="0.55000000000000004">
      <c r="A308" s="14" t="s">
        <v>9</v>
      </c>
      <c r="B308" s="14">
        <v>5</v>
      </c>
      <c r="C308" s="14">
        <v>19</v>
      </c>
      <c r="D308" s="15" t="s">
        <v>10</v>
      </c>
      <c r="E308" s="16" t="s">
        <v>327</v>
      </c>
      <c r="F308" s="17" t="s">
        <v>12</v>
      </c>
      <c r="G308" s="16"/>
    </row>
    <row r="309" spans="1:7" x14ac:dyDescent="0.55000000000000004">
      <c r="A309" s="14" t="s">
        <v>9</v>
      </c>
      <c r="B309" s="14">
        <v>5</v>
      </c>
      <c r="C309" s="14">
        <v>19</v>
      </c>
      <c r="D309" s="15" t="s">
        <v>10</v>
      </c>
      <c r="E309" s="16" t="s">
        <v>328</v>
      </c>
      <c r="F309" s="17" t="s">
        <v>12</v>
      </c>
      <c r="G309" s="16"/>
    </row>
    <row r="310" spans="1:7" ht="25" customHeight="1" x14ac:dyDescent="0.55000000000000004">
      <c r="A310" s="14" t="s">
        <v>9</v>
      </c>
      <c r="B310" s="14">
        <v>5</v>
      </c>
      <c r="C310" s="14">
        <v>19</v>
      </c>
      <c r="D310" s="15" t="s">
        <v>20</v>
      </c>
      <c r="E310" s="16" t="s">
        <v>329</v>
      </c>
      <c r="F310" s="14"/>
      <c r="G310" s="16"/>
    </row>
    <row r="311" spans="1:7" x14ac:dyDescent="0.55000000000000004">
      <c r="A311" s="14" t="s">
        <v>9</v>
      </c>
      <c r="B311" s="14">
        <v>5</v>
      </c>
      <c r="C311" s="14">
        <v>19</v>
      </c>
      <c r="D311" s="15" t="s">
        <v>22</v>
      </c>
      <c r="E311" s="16" t="s">
        <v>330</v>
      </c>
      <c r="F311" s="17" t="s">
        <v>95</v>
      </c>
      <c r="G311" s="16"/>
    </row>
    <row r="312" spans="1:7" ht="25" customHeight="1" x14ac:dyDescent="0.55000000000000004">
      <c r="A312" s="14" t="s">
        <v>9</v>
      </c>
      <c r="B312" s="14">
        <v>5</v>
      </c>
      <c r="C312" s="14">
        <v>19</v>
      </c>
      <c r="D312" s="15" t="s">
        <v>22</v>
      </c>
      <c r="E312" s="16" t="s">
        <v>331</v>
      </c>
      <c r="F312" s="14"/>
      <c r="G312" s="16"/>
    </row>
    <row r="313" spans="1:7" ht="25" customHeight="1" x14ac:dyDescent="0.55000000000000004">
      <c r="A313" s="14" t="s">
        <v>9</v>
      </c>
      <c r="B313" s="14">
        <v>5</v>
      </c>
      <c r="C313" s="14">
        <v>19</v>
      </c>
      <c r="D313" s="15" t="s">
        <v>24</v>
      </c>
      <c r="E313" s="16" t="s">
        <v>332</v>
      </c>
      <c r="F313" s="14"/>
      <c r="G313" s="16"/>
    </row>
    <row r="314" spans="1:7" x14ac:dyDescent="0.55000000000000004">
      <c r="A314" s="14" t="s">
        <v>9</v>
      </c>
      <c r="B314" s="14">
        <v>5</v>
      </c>
      <c r="C314" s="14">
        <v>19</v>
      </c>
      <c r="D314" s="15" t="s">
        <v>27</v>
      </c>
      <c r="E314" s="16" t="s">
        <v>333</v>
      </c>
      <c r="F314" s="14"/>
      <c r="G314" s="16"/>
    </row>
    <row r="315" spans="1:7" x14ac:dyDescent="0.55000000000000004">
      <c r="A315" s="14" t="s">
        <v>9</v>
      </c>
      <c r="B315" s="14">
        <v>5</v>
      </c>
      <c r="C315" s="14">
        <v>19</v>
      </c>
      <c r="D315" s="15" t="s">
        <v>31</v>
      </c>
      <c r="E315" s="16" t="s">
        <v>32</v>
      </c>
      <c r="F315" s="14"/>
      <c r="G315" s="16"/>
    </row>
    <row r="316" spans="1:7" x14ac:dyDescent="0.55000000000000004">
      <c r="A316" s="14" t="s">
        <v>9</v>
      </c>
      <c r="B316" s="14">
        <v>5</v>
      </c>
      <c r="C316" s="14">
        <v>19</v>
      </c>
      <c r="D316" s="15" t="s">
        <v>31</v>
      </c>
      <c r="E316" s="16" t="s">
        <v>300</v>
      </c>
      <c r="F316" s="14"/>
      <c r="G316" s="16"/>
    </row>
    <row r="317" spans="1:7" ht="55.5" customHeight="1" x14ac:dyDescent="0.55000000000000004">
      <c r="A317" s="21"/>
      <c r="B317" s="21"/>
      <c r="C317" s="21"/>
      <c r="D317" s="22" t="s">
        <v>334</v>
      </c>
      <c r="E317" s="23" t="s">
        <v>335</v>
      </c>
      <c r="F317" s="24"/>
      <c r="G317" s="25"/>
    </row>
    <row r="318" spans="1:7" x14ac:dyDescent="0.55000000000000004">
      <c r="A318" s="14" t="s">
        <v>9</v>
      </c>
      <c r="B318" s="14">
        <v>5</v>
      </c>
      <c r="C318" s="14">
        <v>20</v>
      </c>
      <c r="D318" s="15" t="s">
        <v>10</v>
      </c>
      <c r="E318" s="16" t="s">
        <v>336</v>
      </c>
      <c r="F318" s="14"/>
      <c r="G318" s="16"/>
    </row>
    <row r="319" spans="1:7" x14ac:dyDescent="0.55000000000000004">
      <c r="A319" s="14" t="s">
        <v>9</v>
      </c>
      <c r="B319" s="14">
        <v>5</v>
      </c>
      <c r="C319" s="14">
        <v>20</v>
      </c>
      <c r="D319" s="15" t="s">
        <v>10</v>
      </c>
      <c r="E319" s="16" t="s">
        <v>337</v>
      </c>
      <c r="F319" s="14"/>
      <c r="G319" s="16"/>
    </row>
    <row r="320" spans="1:7" x14ac:dyDescent="0.55000000000000004">
      <c r="A320" s="14" t="s">
        <v>9</v>
      </c>
      <c r="B320" s="14">
        <v>5</v>
      </c>
      <c r="C320" s="14">
        <v>20</v>
      </c>
      <c r="D320" s="15" t="s">
        <v>10</v>
      </c>
      <c r="E320" s="16" t="s">
        <v>338</v>
      </c>
      <c r="F320" s="17" t="s">
        <v>12</v>
      </c>
      <c r="G320" s="16"/>
    </row>
    <row r="321" spans="1:7" x14ac:dyDescent="0.55000000000000004">
      <c r="A321" s="14" t="s">
        <v>9</v>
      </c>
      <c r="B321" s="14">
        <v>5</v>
      </c>
      <c r="C321" s="14">
        <v>20</v>
      </c>
      <c r="D321" s="15" t="s">
        <v>10</v>
      </c>
      <c r="E321" s="16" t="s">
        <v>339</v>
      </c>
      <c r="F321" s="17" t="s">
        <v>12</v>
      </c>
      <c r="G321" s="16"/>
    </row>
    <row r="322" spans="1:7" x14ac:dyDescent="0.55000000000000004">
      <c r="A322" s="14" t="s">
        <v>9</v>
      </c>
      <c r="B322" s="14">
        <v>5</v>
      </c>
      <c r="C322" s="14">
        <v>20</v>
      </c>
      <c r="D322" s="15" t="s">
        <v>10</v>
      </c>
      <c r="E322" s="16" t="s">
        <v>340</v>
      </c>
      <c r="F322" s="17" t="s">
        <v>12</v>
      </c>
      <c r="G322" s="16"/>
    </row>
    <row r="323" spans="1:7" x14ac:dyDescent="0.55000000000000004">
      <c r="A323" s="14" t="s">
        <v>9</v>
      </c>
      <c r="B323" s="14">
        <v>5</v>
      </c>
      <c r="C323" s="14">
        <v>20</v>
      </c>
      <c r="D323" s="15" t="s">
        <v>10</v>
      </c>
      <c r="E323" s="16" t="s">
        <v>341</v>
      </c>
      <c r="F323" s="17" t="s">
        <v>12</v>
      </c>
      <c r="G323" s="16"/>
    </row>
    <row r="324" spans="1:7" x14ac:dyDescent="0.55000000000000004">
      <c r="A324" s="14" t="s">
        <v>9</v>
      </c>
      <c r="B324" s="14">
        <v>5</v>
      </c>
      <c r="C324" s="14">
        <v>20</v>
      </c>
      <c r="D324" s="15" t="s">
        <v>10</v>
      </c>
      <c r="E324" s="16" t="s">
        <v>342</v>
      </c>
      <c r="F324" s="17" t="s">
        <v>12</v>
      </c>
      <c r="G324" s="16"/>
    </row>
    <row r="325" spans="1:7" x14ac:dyDescent="0.55000000000000004">
      <c r="A325" s="14" t="s">
        <v>9</v>
      </c>
      <c r="B325" s="14">
        <v>5</v>
      </c>
      <c r="C325" s="14">
        <v>20</v>
      </c>
      <c r="D325" s="15" t="s">
        <v>10</v>
      </c>
      <c r="E325" s="16" t="s">
        <v>343</v>
      </c>
      <c r="F325" s="17" t="s">
        <v>12</v>
      </c>
      <c r="G325" s="16"/>
    </row>
    <row r="326" spans="1:7" x14ac:dyDescent="0.55000000000000004">
      <c r="A326" s="14" t="s">
        <v>9</v>
      </c>
      <c r="B326" s="14">
        <v>5</v>
      </c>
      <c r="C326" s="14">
        <v>20</v>
      </c>
      <c r="D326" s="15" t="s">
        <v>20</v>
      </c>
      <c r="E326" s="16" t="s">
        <v>344</v>
      </c>
      <c r="F326" s="14"/>
      <c r="G326" s="16"/>
    </row>
    <row r="327" spans="1:7" x14ac:dyDescent="0.55000000000000004">
      <c r="A327" s="14" t="s">
        <v>9</v>
      </c>
      <c r="B327" s="14">
        <v>5</v>
      </c>
      <c r="C327" s="14">
        <v>20</v>
      </c>
      <c r="D327" s="15" t="s">
        <v>22</v>
      </c>
      <c r="E327" s="16" t="s">
        <v>345</v>
      </c>
      <c r="F327" s="14"/>
      <c r="G327" s="16"/>
    </row>
    <row r="328" spans="1:7" ht="25" customHeight="1" x14ac:dyDescent="0.55000000000000004">
      <c r="A328" s="14" t="s">
        <v>9</v>
      </c>
      <c r="B328" s="14">
        <v>5</v>
      </c>
      <c r="C328" s="14">
        <v>20</v>
      </c>
      <c r="D328" s="15" t="s">
        <v>27</v>
      </c>
      <c r="E328" s="16" t="s">
        <v>346</v>
      </c>
      <c r="F328" s="14"/>
      <c r="G328" s="16"/>
    </row>
    <row r="329" spans="1:7" x14ac:dyDescent="0.55000000000000004">
      <c r="A329" s="14" t="s">
        <v>9</v>
      </c>
      <c r="B329" s="14">
        <v>5</v>
      </c>
      <c r="C329" s="14">
        <v>20</v>
      </c>
      <c r="D329" s="15" t="s">
        <v>31</v>
      </c>
      <c r="E329" s="16" t="s">
        <v>32</v>
      </c>
      <c r="F329" s="14"/>
      <c r="G329" s="16"/>
    </row>
    <row r="330" spans="1:7" x14ac:dyDescent="0.55000000000000004">
      <c r="A330" s="14" t="s">
        <v>9</v>
      </c>
      <c r="B330" s="14">
        <v>5</v>
      </c>
      <c r="C330" s="14">
        <v>20</v>
      </c>
      <c r="D330" s="15" t="s">
        <v>31</v>
      </c>
      <c r="E330" s="16" t="s">
        <v>300</v>
      </c>
      <c r="F330" s="14"/>
      <c r="G330" s="16"/>
    </row>
    <row r="331" spans="1:7" ht="40.5" customHeight="1" x14ac:dyDescent="0.55000000000000004">
      <c r="A331" s="21"/>
      <c r="B331" s="21"/>
      <c r="C331" s="21"/>
      <c r="D331" s="22" t="s">
        <v>347</v>
      </c>
      <c r="E331" s="23" t="s">
        <v>348</v>
      </c>
      <c r="F331" s="24"/>
      <c r="G331" s="25"/>
    </row>
    <row r="332" spans="1:7" x14ac:dyDescent="0.55000000000000004">
      <c r="A332" s="14" t="s">
        <v>9</v>
      </c>
      <c r="B332" s="14">
        <v>6</v>
      </c>
      <c r="C332" s="14">
        <v>21</v>
      </c>
      <c r="D332" s="15" t="s">
        <v>116</v>
      </c>
      <c r="E332" s="16" t="s">
        <v>349</v>
      </c>
      <c r="F332" s="14"/>
      <c r="G332" s="16"/>
    </row>
    <row r="333" spans="1:7" x14ac:dyDescent="0.55000000000000004">
      <c r="A333" s="14" t="s">
        <v>9</v>
      </c>
      <c r="B333" s="14">
        <v>6</v>
      </c>
      <c r="C333" s="14">
        <v>21</v>
      </c>
      <c r="D333" s="15" t="s">
        <v>116</v>
      </c>
      <c r="E333" s="16" t="s">
        <v>350</v>
      </c>
      <c r="F333" s="14"/>
      <c r="G333" s="16"/>
    </row>
    <row r="334" spans="1:7" x14ac:dyDescent="0.55000000000000004">
      <c r="A334" s="14" t="s">
        <v>9</v>
      </c>
      <c r="B334" s="14">
        <v>6</v>
      </c>
      <c r="C334" s="14">
        <v>21</v>
      </c>
      <c r="D334" s="15" t="s">
        <v>33</v>
      </c>
      <c r="E334" s="16" t="s">
        <v>351</v>
      </c>
      <c r="F334" s="14"/>
      <c r="G334" s="16"/>
    </row>
    <row r="335" spans="1:7" x14ac:dyDescent="0.55000000000000004">
      <c r="A335" s="14" t="s">
        <v>9</v>
      </c>
      <c r="B335" s="14">
        <v>6</v>
      </c>
      <c r="C335" s="14">
        <v>21</v>
      </c>
      <c r="D335" s="15" t="s">
        <v>352</v>
      </c>
      <c r="E335" s="16" t="s">
        <v>353</v>
      </c>
      <c r="F335" s="14"/>
      <c r="G335" s="16"/>
    </row>
    <row r="336" spans="1:7" x14ac:dyDescent="0.55000000000000004">
      <c r="A336" s="14" t="s">
        <v>9</v>
      </c>
      <c r="B336" s="14">
        <v>6</v>
      </c>
      <c r="C336" s="14">
        <v>21</v>
      </c>
      <c r="D336" s="15" t="s">
        <v>352</v>
      </c>
      <c r="E336" s="16" t="s">
        <v>354</v>
      </c>
      <c r="F336" s="14"/>
      <c r="G336" s="16"/>
    </row>
    <row r="337" spans="1:7" ht="41.5" customHeight="1" x14ac:dyDescent="0.55000000000000004">
      <c r="A337" s="21"/>
      <c r="B337" s="21"/>
      <c r="C337" s="21"/>
      <c r="D337" s="22" t="s">
        <v>355</v>
      </c>
      <c r="E337" s="23" t="s">
        <v>356</v>
      </c>
      <c r="F337" s="24"/>
      <c r="G337" s="25"/>
    </row>
    <row r="338" spans="1:7" x14ac:dyDescent="0.55000000000000004">
      <c r="A338" s="14" t="s">
        <v>9</v>
      </c>
      <c r="B338" s="14">
        <v>6</v>
      </c>
      <c r="C338" s="14">
        <v>22</v>
      </c>
      <c r="D338" s="15" t="s">
        <v>116</v>
      </c>
      <c r="E338" s="16" t="s">
        <v>349</v>
      </c>
      <c r="F338" s="14"/>
      <c r="G338" s="16"/>
    </row>
    <row r="339" spans="1:7" x14ac:dyDescent="0.55000000000000004">
      <c r="A339" s="14" t="s">
        <v>9</v>
      </c>
      <c r="B339" s="14">
        <v>6</v>
      </c>
      <c r="C339" s="14">
        <v>22</v>
      </c>
      <c r="D339" s="15" t="s">
        <v>116</v>
      </c>
      <c r="E339" s="16" t="s">
        <v>357</v>
      </c>
      <c r="F339" s="14"/>
      <c r="G339" s="16"/>
    </row>
    <row r="340" spans="1:7" x14ac:dyDescent="0.55000000000000004">
      <c r="A340" s="14" t="s">
        <v>9</v>
      </c>
      <c r="B340" s="14">
        <v>6</v>
      </c>
      <c r="C340" s="14">
        <v>22</v>
      </c>
      <c r="D340" s="15" t="s">
        <v>33</v>
      </c>
      <c r="E340" s="16" t="s">
        <v>358</v>
      </c>
      <c r="F340" s="14"/>
      <c r="G340" s="16"/>
    </row>
    <row r="341" spans="1:7" ht="25" customHeight="1" x14ac:dyDescent="0.55000000000000004">
      <c r="A341" s="14" t="s">
        <v>9</v>
      </c>
      <c r="B341" s="14">
        <v>6</v>
      </c>
      <c r="C341" s="14">
        <v>22</v>
      </c>
      <c r="D341" s="15" t="s">
        <v>33</v>
      </c>
      <c r="E341" s="16" t="s">
        <v>359</v>
      </c>
      <c r="F341" s="14"/>
      <c r="G341" s="16"/>
    </row>
    <row r="342" spans="1:7" ht="41.05" customHeight="1" x14ac:dyDescent="0.55000000000000004">
      <c r="A342" s="21"/>
      <c r="B342" s="21"/>
      <c r="C342" s="21"/>
      <c r="D342" s="22" t="s">
        <v>360</v>
      </c>
      <c r="E342" s="23" t="s">
        <v>361</v>
      </c>
      <c r="F342" s="24"/>
      <c r="G342" s="25"/>
    </row>
    <row r="343" spans="1:7" x14ac:dyDescent="0.55000000000000004">
      <c r="A343" s="14" t="s">
        <v>9</v>
      </c>
      <c r="B343" s="14">
        <v>6</v>
      </c>
      <c r="C343" s="14">
        <v>23</v>
      </c>
      <c r="D343" s="15" t="s">
        <v>116</v>
      </c>
      <c r="E343" s="16" t="s">
        <v>349</v>
      </c>
      <c r="F343" s="14"/>
      <c r="G343" s="16"/>
    </row>
    <row r="344" spans="1:7" x14ac:dyDescent="0.55000000000000004">
      <c r="A344" s="14" t="s">
        <v>9</v>
      </c>
      <c r="B344" s="14">
        <v>6</v>
      </c>
      <c r="C344" s="14">
        <v>23</v>
      </c>
      <c r="D344" s="15" t="s">
        <v>116</v>
      </c>
      <c r="E344" s="16" t="s">
        <v>350</v>
      </c>
      <c r="F344" s="14"/>
      <c r="G344" s="16"/>
    </row>
    <row r="345" spans="1:7" x14ac:dyDescent="0.55000000000000004">
      <c r="A345" s="14" t="s">
        <v>9</v>
      </c>
      <c r="B345" s="14">
        <v>6</v>
      </c>
      <c r="C345" s="14">
        <v>23</v>
      </c>
      <c r="D345" s="15" t="s">
        <v>116</v>
      </c>
      <c r="E345" s="16" t="s">
        <v>362</v>
      </c>
      <c r="F345" s="14"/>
      <c r="G345" s="16"/>
    </row>
    <row r="346" spans="1:7" ht="25" customHeight="1" x14ac:dyDescent="0.55000000000000004">
      <c r="A346" s="14" t="s">
        <v>9</v>
      </c>
      <c r="B346" s="14">
        <v>6</v>
      </c>
      <c r="C346" s="14">
        <v>23</v>
      </c>
      <c r="D346" s="15" t="s">
        <v>352</v>
      </c>
      <c r="E346" s="16" t="s">
        <v>363</v>
      </c>
      <c r="F346" s="14"/>
      <c r="G346" s="16"/>
    </row>
    <row r="347" spans="1:7" ht="25" customHeight="1" x14ac:dyDescent="0.55000000000000004">
      <c r="A347" s="14" t="s">
        <v>9</v>
      </c>
      <c r="B347" s="14">
        <v>6</v>
      </c>
      <c r="C347" s="14">
        <v>23</v>
      </c>
      <c r="D347" s="15" t="s">
        <v>352</v>
      </c>
      <c r="E347" s="16" t="s">
        <v>364</v>
      </c>
      <c r="F347" s="14"/>
      <c r="G347" s="16"/>
    </row>
    <row r="348" spans="1:7" ht="41.5" customHeight="1" x14ac:dyDescent="0.55000000000000004">
      <c r="A348" s="21"/>
      <c r="B348" s="21"/>
      <c r="C348" s="21"/>
      <c r="D348" s="22" t="s">
        <v>365</v>
      </c>
      <c r="E348" s="23" t="s">
        <v>366</v>
      </c>
      <c r="F348" s="24"/>
      <c r="G348" s="25"/>
    </row>
    <row r="349" spans="1:7" x14ac:dyDescent="0.55000000000000004">
      <c r="A349" s="14" t="s">
        <v>9</v>
      </c>
      <c r="B349" s="14">
        <v>6</v>
      </c>
      <c r="C349" s="14">
        <v>24</v>
      </c>
      <c r="D349" s="15" t="s">
        <v>116</v>
      </c>
      <c r="E349" s="16" t="s">
        <v>367</v>
      </c>
      <c r="F349" s="14"/>
      <c r="G349" s="16"/>
    </row>
    <row r="350" spans="1:7" x14ac:dyDescent="0.55000000000000004">
      <c r="A350" s="14" t="s">
        <v>9</v>
      </c>
      <c r="B350" s="14">
        <v>6</v>
      </c>
      <c r="C350" s="14">
        <v>24</v>
      </c>
      <c r="D350" s="15" t="s">
        <v>33</v>
      </c>
      <c r="E350" s="16" t="s">
        <v>368</v>
      </c>
      <c r="F350" s="14"/>
      <c r="G350" s="16"/>
    </row>
    <row r="351" spans="1:7" ht="25" customHeight="1" x14ac:dyDescent="0.55000000000000004">
      <c r="A351" s="14" t="s">
        <v>9</v>
      </c>
      <c r="B351" s="14">
        <v>6</v>
      </c>
      <c r="C351" s="14">
        <v>24</v>
      </c>
      <c r="D351" s="15" t="s">
        <v>33</v>
      </c>
      <c r="E351" s="16" t="s">
        <v>369</v>
      </c>
      <c r="F351" s="14"/>
      <c r="G351" s="16"/>
    </row>
    <row r="352" spans="1:7" x14ac:dyDescent="0.55000000000000004">
      <c r="A352" s="14" t="s">
        <v>9</v>
      </c>
      <c r="B352" s="14">
        <v>6</v>
      </c>
      <c r="C352" s="14">
        <v>24</v>
      </c>
      <c r="D352" s="15" t="s">
        <v>352</v>
      </c>
      <c r="E352" s="16" t="s">
        <v>370</v>
      </c>
      <c r="F352" s="14"/>
      <c r="G352" s="16"/>
    </row>
    <row r="353" spans="1:7" ht="42" customHeight="1" x14ac:dyDescent="0.55000000000000004">
      <c r="A353" s="21"/>
      <c r="B353" s="21"/>
      <c r="C353" s="21"/>
      <c r="D353" s="22" t="s">
        <v>371</v>
      </c>
      <c r="E353" s="23" t="s">
        <v>372</v>
      </c>
      <c r="F353" s="24"/>
      <c r="G353" s="25"/>
    </row>
    <row r="354" spans="1:7" x14ac:dyDescent="0.55000000000000004">
      <c r="A354" s="14" t="s">
        <v>9</v>
      </c>
      <c r="B354" s="14">
        <v>6</v>
      </c>
      <c r="C354" s="14">
        <v>25</v>
      </c>
      <c r="D354" s="15" t="s">
        <v>352</v>
      </c>
      <c r="E354" s="16" t="s">
        <v>373</v>
      </c>
      <c r="F354" s="14"/>
      <c r="G354" s="16"/>
    </row>
    <row r="355" spans="1:7" x14ac:dyDescent="0.55000000000000004">
      <c r="A355" s="14" t="s">
        <v>9</v>
      </c>
      <c r="B355" s="14">
        <v>6</v>
      </c>
      <c r="C355" s="14">
        <v>25</v>
      </c>
      <c r="D355" s="15" t="s">
        <v>352</v>
      </c>
      <c r="E355" s="16" t="s">
        <v>374</v>
      </c>
      <c r="F355" s="14"/>
      <c r="G355" s="16"/>
    </row>
    <row r="356" spans="1:7" ht="42" customHeight="1" x14ac:dyDescent="0.55000000000000004">
      <c r="A356" s="21"/>
      <c r="B356" s="21"/>
      <c r="C356" s="21"/>
      <c r="D356" s="22" t="s">
        <v>375</v>
      </c>
      <c r="E356" s="23" t="s">
        <v>376</v>
      </c>
      <c r="F356" s="24"/>
      <c r="G356" s="25"/>
    </row>
    <row r="357" spans="1:7" x14ac:dyDescent="0.55000000000000004">
      <c r="A357" s="14" t="s">
        <v>9</v>
      </c>
      <c r="B357" s="14">
        <v>6</v>
      </c>
      <c r="C357" s="14">
        <v>26</v>
      </c>
      <c r="D357" s="15" t="s">
        <v>352</v>
      </c>
      <c r="E357" s="16" t="s">
        <v>373</v>
      </c>
      <c r="F357" s="14"/>
      <c r="G357" s="16"/>
    </row>
    <row r="358" spans="1:7" x14ac:dyDescent="0.55000000000000004">
      <c r="A358" s="14" t="s">
        <v>9</v>
      </c>
      <c r="B358" s="14">
        <v>6</v>
      </c>
      <c r="C358" s="14">
        <v>26</v>
      </c>
      <c r="D358" s="15" t="s">
        <v>352</v>
      </c>
      <c r="E358" s="16" t="s">
        <v>377</v>
      </c>
      <c r="F358" s="14"/>
      <c r="G358" s="16"/>
    </row>
  </sheetData>
  <autoFilter ref="A1:G358" xr:uid="{00000000-0009-0000-0000-000001000000}"/>
  <conditionalFormatting sqref="A2:G358">
    <cfRule type="expression" dxfId="1" priority="2">
      <formula>$A2="Done"</formula>
    </cfRule>
    <cfRule type="expression" dxfId="0" priority="3">
      <formula>$A2="In progress"</formula>
    </cfRule>
  </conditionalFormatting>
  <dataValidations count="1">
    <dataValidation type="list" showErrorMessage="1" errorTitle="Invalid status" error="Pick Not started, In progress or Done" sqref="A2:A358" xr:uid="{00000000-0002-0000-0100-000000000000}">
      <formula1>"Not started,In progress,Done"</formula1>
      <formula2>0</formula2>
    </dataValidation>
  </dataValidations>
  <hyperlinks>
    <hyperlink ref="F3" r:id="rId1" xr:uid="{00000000-0004-0000-0100-000000000000}"/>
    <hyperlink ref="F4" r:id="rId2" xr:uid="{00000000-0004-0000-0100-000001000000}"/>
    <hyperlink ref="F5" r:id="rId3" xr:uid="{00000000-0004-0000-0100-000002000000}"/>
    <hyperlink ref="F6" r:id="rId4" xr:uid="{00000000-0004-0000-0100-000003000000}"/>
    <hyperlink ref="F7" r:id="rId5" xr:uid="{00000000-0004-0000-0100-000004000000}"/>
    <hyperlink ref="F8" r:id="rId6" xr:uid="{00000000-0004-0000-0100-000005000000}"/>
    <hyperlink ref="F9" r:id="rId7" xr:uid="{00000000-0004-0000-0100-000006000000}"/>
    <hyperlink ref="F13" r:id="rId8" xr:uid="{00000000-0004-0000-0100-000007000000}"/>
    <hyperlink ref="F19" r:id="rId9" xr:uid="{00000000-0004-0000-0100-000008000000}"/>
    <hyperlink ref="F20" r:id="rId10" xr:uid="{00000000-0004-0000-0100-000009000000}"/>
    <hyperlink ref="F21" r:id="rId11" xr:uid="{00000000-0004-0000-0100-00000A000000}"/>
    <hyperlink ref="F22" r:id="rId12" xr:uid="{00000000-0004-0000-0100-00000B000000}"/>
    <hyperlink ref="F23" r:id="rId13" xr:uid="{00000000-0004-0000-0100-00000C000000}"/>
    <hyperlink ref="F26" r:id="rId14" xr:uid="{00000000-0004-0000-0100-00000D000000}"/>
    <hyperlink ref="G26" r:id="rId15" xr:uid="{00000000-0004-0000-0100-00000E000000}"/>
    <hyperlink ref="F32" r:id="rId16" xr:uid="{00000000-0004-0000-0100-00000F000000}"/>
    <hyperlink ref="F33" r:id="rId17" xr:uid="{00000000-0004-0000-0100-000010000000}"/>
    <hyperlink ref="F34" r:id="rId18" xr:uid="{00000000-0004-0000-0100-000011000000}"/>
    <hyperlink ref="F35" r:id="rId19" xr:uid="{00000000-0004-0000-0100-000012000000}"/>
    <hyperlink ref="F36" r:id="rId20" xr:uid="{00000000-0004-0000-0100-000013000000}"/>
    <hyperlink ref="F39" r:id="rId21" xr:uid="{00000000-0004-0000-0100-000014000000}"/>
    <hyperlink ref="G39" r:id="rId22" xr:uid="{00000000-0004-0000-0100-000015000000}"/>
    <hyperlink ref="F45" r:id="rId23" xr:uid="{00000000-0004-0000-0100-000016000000}"/>
    <hyperlink ref="F46" r:id="rId24" xr:uid="{00000000-0004-0000-0100-000017000000}"/>
    <hyperlink ref="F47" r:id="rId25" xr:uid="{00000000-0004-0000-0100-000018000000}"/>
    <hyperlink ref="F48" r:id="rId26" xr:uid="{00000000-0004-0000-0100-000019000000}"/>
    <hyperlink ref="F49" r:id="rId27" xr:uid="{00000000-0004-0000-0100-00001A000000}"/>
    <hyperlink ref="F50" r:id="rId28" xr:uid="{00000000-0004-0000-0100-00001B000000}"/>
    <hyperlink ref="F54" r:id="rId29" xr:uid="{00000000-0004-0000-0100-00001C000000}"/>
    <hyperlink ref="G54" r:id="rId30" xr:uid="{00000000-0004-0000-0100-00001D000000}"/>
    <hyperlink ref="F60" r:id="rId31" xr:uid="{00000000-0004-0000-0100-00001E000000}"/>
    <hyperlink ref="F61" r:id="rId32" xr:uid="{00000000-0004-0000-0100-00001F000000}"/>
    <hyperlink ref="F62" r:id="rId33" xr:uid="{00000000-0004-0000-0100-000020000000}"/>
    <hyperlink ref="F63" r:id="rId34" xr:uid="{00000000-0004-0000-0100-000021000000}"/>
    <hyperlink ref="F64" r:id="rId35" xr:uid="{00000000-0004-0000-0100-000022000000}"/>
    <hyperlink ref="F65" r:id="rId36" xr:uid="{00000000-0004-0000-0100-000023000000}"/>
    <hyperlink ref="F66" r:id="rId37" xr:uid="{00000000-0004-0000-0100-000024000000}"/>
    <hyperlink ref="F67" r:id="rId38" xr:uid="{00000000-0004-0000-0100-000025000000}"/>
    <hyperlink ref="F68" r:id="rId39" xr:uid="{00000000-0004-0000-0100-000026000000}"/>
    <hyperlink ref="F69" r:id="rId40" xr:uid="{00000000-0004-0000-0100-000027000000}"/>
    <hyperlink ref="F70" r:id="rId41" xr:uid="{00000000-0004-0000-0100-000028000000}"/>
    <hyperlink ref="F72" r:id="rId42" xr:uid="{00000000-0004-0000-0100-000029000000}"/>
    <hyperlink ref="F73" r:id="rId43" xr:uid="{00000000-0004-0000-0100-00002A000000}"/>
    <hyperlink ref="G73" r:id="rId44" xr:uid="{00000000-0004-0000-0100-00002B000000}"/>
    <hyperlink ref="F80" r:id="rId45" xr:uid="{00000000-0004-0000-0100-00002C000000}"/>
    <hyperlink ref="F81" r:id="rId46" xr:uid="{00000000-0004-0000-0100-00002D000000}"/>
    <hyperlink ref="F82" r:id="rId47" xr:uid="{00000000-0004-0000-0100-00002E000000}"/>
    <hyperlink ref="F83" r:id="rId48" xr:uid="{00000000-0004-0000-0100-00002F000000}"/>
    <hyperlink ref="F84" r:id="rId49" xr:uid="{00000000-0004-0000-0100-000030000000}"/>
    <hyperlink ref="F87" r:id="rId50" xr:uid="{00000000-0004-0000-0100-000031000000}"/>
    <hyperlink ref="F88" r:id="rId51" xr:uid="{00000000-0004-0000-0100-000032000000}"/>
    <hyperlink ref="G88" r:id="rId52" xr:uid="{00000000-0004-0000-0100-000033000000}"/>
    <hyperlink ref="F94" r:id="rId53" xr:uid="{00000000-0004-0000-0100-000034000000}"/>
    <hyperlink ref="F96" r:id="rId54" xr:uid="{00000000-0004-0000-0100-000035000000}"/>
    <hyperlink ref="F97" r:id="rId55" xr:uid="{00000000-0004-0000-0100-000036000000}"/>
    <hyperlink ref="F98" r:id="rId56" xr:uid="{00000000-0004-0000-0100-000037000000}"/>
    <hyperlink ref="F99" r:id="rId57" xr:uid="{00000000-0004-0000-0100-000038000000}"/>
    <hyperlink ref="F100" r:id="rId58" xr:uid="{00000000-0004-0000-0100-000039000000}"/>
    <hyperlink ref="F101" r:id="rId59" xr:uid="{00000000-0004-0000-0100-00003A000000}"/>
    <hyperlink ref="F103" r:id="rId60" xr:uid="{00000000-0004-0000-0100-00003B000000}"/>
    <hyperlink ref="G103" r:id="rId61" xr:uid="{00000000-0004-0000-0100-00003C000000}"/>
    <hyperlink ref="F105" r:id="rId62" xr:uid="{00000000-0004-0000-0100-00003D000000}"/>
    <hyperlink ref="F112" r:id="rId63" xr:uid="{00000000-0004-0000-0100-00003E000000}"/>
    <hyperlink ref="F113" r:id="rId64" xr:uid="{00000000-0004-0000-0100-00003F000000}"/>
    <hyperlink ref="F114" r:id="rId65" xr:uid="{00000000-0004-0000-0100-000040000000}"/>
    <hyperlink ref="F115" r:id="rId66" xr:uid="{00000000-0004-0000-0100-000041000000}"/>
    <hyperlink ref="F116" r:id="rId67" xr:uid="{00000000-0004-0000-0100-000042000000}"/>
    <hyperlink ref="F117" r:id="rId68" xr:uid="{00000000-0004-0000-0100-000043000000}"/>
    <hyperlink ref="F118" r:id="rId69" xr:uid="{00000000-0004-0000-0100-000044000000}"/>
    <hyperlink ref="F122" r:id="rId70" xr:uid="{00000000-0004-0000-0100-000045000000}"/>
    <hyperlink ref="F123" r:id="rId71" xr:uid="{00000000-0004-0000-0100-000046000000}"/>
    <hyperlink ref="F125" r:id="rId72" xr:uid="{00000000-0004-0000-0100-000047000000}"/>
    <hyperlink ref="F131" r:id="rId73" xr:uid="{00000000-0004-0000-0100-000048000000}"/>
    <hyperlink ref="F132" r:id="rId74" xr:uid="{00000000-0004-0000-0100-000049000000}"/>
    <hyperlink ref="F133" r:id="rId75" xr:uid="{00000000-0004-0000-0100-00004A000000}"/>
    <hyperlink ref="F134" r:id="rId76" xr:uid="{00000000-0004-0000-0100-00004B000000}"/>
    <hyperlink ref="F135" r:id="rId77" xr:uid="{00000000-0004-0000-0100-00004C000000}"/>
    <hyperlink ref="F136" r:id="rId78" xr:uid="{00000000-0004-0000-0100-00004D000000}"/>
    <hyperlink ref="F140" r:id="rId79" xr:uid="{00000000-0004-0000-0100-00004E000000}"/>
    <hyperlink ref="F147" r:id="rId80" xr:uid="{00000000-0004-0000-0100-00004F000000}"/>
    <hyperlink ref="F148" r:id="rId81" xr:uid="{00000000-0004-0000-0100-000050000000}"/>
    <hyperlink ref="F149" r:id="rId82" xr:uid="{00000000-0004-0000-0100-000051000000}"/>
    <hyperlink ref="F150" r:id="rId83" xr:uid="{00000000-0004-0000-0100-000052000000}"/>
    <hyperlink ref="F151" r:id="rId84" xr:uid="{00000000-0004-0000-0100-000053000000}"/>
    <hyperlink ref="F152" r:id="rId85" xr:uid="{00000000-0004-0000-0100-000054000000}"/>
    <hyperlink ref="F153" r:id="rId86" xr:uid="{00000000-0004-0000-0100-000055000000}"/>
    <hyperlink ref="F154" r:id="rId87" xr:uid="{00000000-0004-0000-0100-000056000000}"/>
    <hyperlink ref="F155" r:id="rId88" xr:uid="{00000000-0004-0000-0100-000057000000}"/>
    <hyperlink ref="F156" r:id="rId89" xr:uid="{00000000-0004-0000-0100-000058000000}"/>
    <hyperlink ref="F166" r:id="rId90" xr:uid="{00000000-0004-0000-0100-000059000000}"/>
    <hyperlink ref="F167" r:id="rId91" xr:uid="{00000000-0004-0000-0100-00005A000000}"/>
    <hyperlink ref="F168" r:id="rId92" xr:uid="{00000000-0004-0000-0100-00005B000000}"/>
    <hyperlink ref="F169" r:id="rId93" xr:uid="{00000000-0004-0000-0100-00005C000000}"/>
    <hyperlink ref="F170" r:id="rId94" xr:uid="{00000000-0004-0000-0100-00005D000000}"/>
    <hyperlink ref="F171" r:id="rId95" xr:uid="{00000000-0004-0000-0100-00005E000000}"/>
    <hyperlink ref="F175" r:id="rId96" xr:uid="{00000000-0004-0000-0100-00005F000000}"/>
    <hyperlink ref="F182" r:id="rId97" xr:uid="{00000000-0004-0000-0100-000060000000}"/>
    <hyperlink ref="F183" r:id="rId98" xr:uid="{00000000-0004-0000-0100-000061000000}"/>
    <hyperlink ref="F184" r:id="rId99" xr:uid="{00000000-0004-0000-0100-000062000000}"/>
    <hyperlink ref="F185" r:id="rId100" xr:uid="{00000000-0004-0000-0100-000063000000}"/>
    <hyperlink ref="F187" r:id="rId101" xr:uid="{00000000-0004-0000-0100-000064000000}"/>
    <hyperlink ref="F198" r:id="rId102" xr:uid="{00000000-0004-0000-0100-000065000000}"/>
    <hyperlink ref="F199" r:id="rId103" xr:uid="{00000000-0004-0000-0100-000066000000}"/>
    <hyperlink ref="F200" r:id="rId104" xr:uid="{00000000-0004-0000-0100-000067000000}"/>
    <hyperlink ref="F201" r:id="rId105" xr:uid="{00000000-0004-0000-0100-000068000000}"/>
    <hyperlink ref="F202" r:id="rId106" xr:uid="{00000000-0004-0000-0100-000069000000}"/>
    <hyperlink ref="F205" r:id="rId107" xr:uid="{00000000-0004-0000-0100-00006A000000}"/>
    <hyperlink ref="G205" r:id="rId108" xr:uid="{00000000-0004-0000-0100-00006B000000}"/>
    <hyperlink ref="F213" r:id="rId109" xr:uid="{00000000-0004-0000-0100-00006C000000}"/>
    <hyperlink ref="F214" r:id="rId110" xr:uid="{00000000-0004-0000-0100-00006D000000}"/>
    <hyperlink ref="F215" r:id="rId111" xr:uid="{00000000-0004-0000-0100-00006E000000}"/>
    <hyperlink ref="F216" r:id="rId112" xr:uid="{00000000-0004-0000-0100-00006F000000}"/>
    <hyperlink ref="F217" r:id="rId113" xr:uid="{00000000-0004-0000-0100-000070000000}"/>
    <hyperlink ref="F218" r:id="rId114" xr:uid="{00000000-0004-0000-0100-000071000000}"/>
    <hyperlink ref="F219" r:id="rId115" xr:uid="{00000000-0004-0000-0100-000072000000}"/>
    <hyperlink ref="F220" r:id="rId116" xr:uid="{00000000-0004-0000-0100-000073000000}"/>
    <hyperlink ref="F223" r:id="rId117" xr:uid="{00000000-0004-0000-0100-000074000000}"/>
    <hyperlink ref="F231" r:id="rId118" xr:uid="{00000000-0004-0000-0100-000075000000}"/>
    <hyperlink ref="F232" r:id="rId119" xr:uid="{00000000-0004-0000-0100-000076000000}"/>
    <hyperlink ref="F233" r:id="rId120" xr:uid="{00000000-0004-0000-0100-000077000000}"/>
    <hyperlink ref="F234" r:id="rId121" xr:uid="{00000000-0004-0000-0100-000078000000}"/>
    <hyperlink ref="F235" r:id="rId122" xr:uid="{00000000-0004-0000-0100-000079000000}"/>
    <hyperlink ref="F236" r:id="rId123" xr:uid="{00000000-0004-0000-0100-00007A000000}"/>
    <hyperlink ref="F249" r:id="rId124" xr:uid="{00000000-0004-0000-0100-00007B000000}"/>
    <hyperlink ref="F250" r:id="rId125" xr:uid="{00000000-0004-0000-0100-00007C000000}"/>
    <hyperlink ref="F251" r:id="rId126" xr:uid="{00000000-0004-0000-0100-00007D000000}"/>
    <hyperlink ref="F252" r:id="rId127" xr:uid="{00000000-0004-0000-0100-00007E000000}"/>
    <hyperlink ref="F254" r:id="rId128" xr:uid="{00000000-0004-0000-0100-00007F000000}"/>
    <hyperlink ref="F255" r:id="rId129" xr:uid="{00000000-0004-0000-0100-000080000000}"/>
    <hyperlink ref="F256" r:id="rId130" xr:uid="{00000000-0004-0000-0100-000081000000}"/>
    <hyperlink ref="F257" r:id="rId131" xr:uid="{00000000-0004-0000-0100-000082000000}"/>
    <hyperlink ref="F258" r:id="rId132" xr:uid="{00000000-0004-0000-0100-000083000000}"/>
    <hyperlink ref="F259" r:id="rId133" xr:uid="{00000000-0004-0000-0100-000084000000}"/>
    <hyperlink ref="G259" r:id="rId134" xr:uid="{00000000-0004-0000-0100-000085000000}"/>
    <hyperlink ref="F262" r:id="rId135" xr:uid="{00000000-0004-0000-0100-000086000000}"/>
    <hyperlink ref="F269" r:id="rId136" xr:uid="{00000000-0004-0000-0100-000087000000}"/>
    <hyperlink ref="F270" r:id="rId137" xr:uid="{00000000-0004-0000-0100-000088000000}"/>
    <hyperlink ref="F271" r:id="rId138" xr:uid="{00000000-0004-0000-0100-000089000000}"/>
    <hyperlink ref="F272" r:id="rId139" xr:uid="{00000000-0004-0000-0100-00008A000000}"/>
    <hyperlink ref="F273" r:id="rId140" xr:uid="{00000000-0004-0000-0100-00008B000000}"/>
    <hyperlink ref="F283" r:id="rId141" xr:uid="{00000000-0004-0000-0100-00008C000000}"/>
    <hyperlink ref="F284" r:id="rId142" xr:uid="{00000000-0004-0000-0100-00008D000000}"/>
    <hyperlink ref="F285" r:id="rId143" xr:uid="{00000000-0004-0000-0100-00008E000000}"/>
    <hyperlink ref="F286" r:id="rId144" xr:uid="{00000000-0004-0000-0100-00008F000000}"/>
    <hyperlink ref="F288" r:id="rId145" xr:uid="{00000000-0004-0000-0100-000090000000}"/>
    <hyperlink ref="F296" r:id="rId146" xr:uid="{00000000-0004-0000-0100-000091000000}"/>
    <hyperlink ref="F297" r:id="rId147" xr:uid="{00000000-0004-0000-0100-000092000000}"/>
    <hyperlink ref="F298" r:id="rId148" xr:uid="{00000000-0004-0000-0100-000093000000}"/>
    <hyperlink ref="F299" r:id="rId149" xr:uid="{00000000-0004-0000-0100-000094000000}"/>
    <hyperlink ref="F300" r:id="rId150" xr:uid="{00000000-0004-0000-0100-000095000000}"/>
    <hyperlink ref="F301" r:id="rId151" xr:uid="{00000000-0004-0000-0100-000096000000}"/>
    <hyperlink ref="F302" r:id="rId152" xr:uid="{00000000-0004-0000-0100-000097000000}"/>
    <hyperlink ref="F303" r:id="rId153" xr:uid="{00000000-0004-0000-0100-000098000000}"/>
    <hyperlink ref="F304" r:id="rId154" xr:uid="{00000000-0004-0000-0100-000099000000}"/>
    <hyperlink ref="F305" r:id="rId155" xr:uid="{00000000-0004-0000-0100-00009A000000}"/>
    <hyperlink ref="F306" r:id="rId156" xr:uid="{00000000-0004-0000-0100-00009B000000}"/>
    <hyperlink ref="F307" r:id="rId157" xr:uid="{00000000-0004-0000-0100-00009C000000}"/>
    <hyperlink ref="F308" r:id="rId158" xr:uid="{00000000-0004-0000-0100-00009D000000}"/>
    <hyperlink ref="F309" r:id="rId159" xr:uid="{00000000-0004-0000-0100-00009E000000}"/>
    <hyperlink ref="F311" r:id="rId160" xr:uid="{00000000-0004-0000-0100-00009F000000}"/>
    <hyperlink ref="F320" r:id="rId161" xr:uid="{00000000-0004-0000-0100-0000A0000000}"/>
    <hyperlink ref="F321" r:id="rId162" xr:uid="{00000000-0004-0000-0100-0000A1000000}"/>
    <hyperlink ref="F322" r:id="rId163" xr:uid="{00000000-0004-0000-0100-0000A2000000}"/>
    <hyperlink ref="F323" r:id="rId164" xr:uid="{00000000-0004-0000-0100-0000A3000000}"/>
    <hyperlink ref="F324" r:id="rId165" xr:uid="{00000000-0004-0000-0100-0000A4000000}"/>
    <hyperlink ref="F325" r:id="rId166" xr:uid="{00000000-0004-0000-0100-0000A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2"/>
  <sheetViews>
    <sheetView zoomScaleNormal="100" workbookViewId="0">
      <pane ySplit="1" topLeftCell="A2" activePane="bottomLeft" state="frozen"/>
      <selection pane="bottomLeft"/>
    </sheetView>
  </sheetViews>
  <sheetFormatPr defaultColWidth="8.62890625" defaultRowHeight="14.4" x14ac:dyDescent="0.55000000000000004"/>
  <cols>
    <col min="1" max="1" width="20" customWidth="1"/>
    <col min="2" max="2" width="32" customWidth="1"/>
    <col min="3" max="3" width="22" customWidth="1"/>
    <col min="4" max="4" width="50" customWidth="1"/>
    <col min="5" max="5" width="16" customWidth="1"/>
    <col min="6" max="6" width="30" customWidth="1"/>
  </cols>
  <sheetData>
    <row r="1" spans="1:6" ht="15" customHeight="1" x14ac:dyDescent="0.55000000000000004">
      <c r="A1" s="9" t="s">
        <v>406</v>
      </c>
      <c r="B1" s="9" t="s">
        <v>407</v>
      </c>
      <c r="C1" s="9" t="s">
        <v>408</v>
      </c>
      <c r="D1" s="9" t="s">
        <v>409</v>
      </c>
      <c r="E1" s="9" t="s">
        <v>410</v>
      </c>
      <c r="F1" s="9" t="s">
        <v>411</v>
      </c>
    </row>
    <row r="2" spans="1:6" ht="15" customHeight="1" x14ac:dyDescent="0.55000000000000004">
      <c r="A2" s="18" t="s">
        <v>412</v>
      </c>
      <c r="B2" s="18" t="s">
        <v>41</v>
      </c>
      <c r="C2" s="18" t="s">
        <v>413</v>
      </c>
      <c r="D2" s="18" t="s">
        <v>414</v>
      </c>
      <c r="E2" s="18"/>
      <c r="F2" s="18" t="s">
        <v>415</v>
      </c>
    </row>
    <row r="3" spans="1:6" ht="15" customHeight="1" x14ac:dyDescent="0.55000000000000004">
      <c r="A3" s="19"/>
      <c r="B3" s="19"/>
      <c r="C3" s="19"/>
      <c r="D3" s="19"/>
      <c r="E3" s="19"/>
      <c r="F3" s="19"/>
    </row>
    <row r="4" spans="1:6" ht="15" customHeight="1" x14ac:dyDescent="0.55000000000000004">
      <c r="A4" s="19"/>
      <c r="B4" s="19"/>
      <c r="C4" s="19"/>
      <c r="D4" s="19"/>
      <c r="E4" s="19"/>
      <c r="F4" s="19"/>
    </row>
    <row r="5" spans="1:6" ht="15" customHeight="1" x14ac:dyDescent="0.55000000000000004">
      <c r="A5" s="19"/>
      <c r="B5" s="19"/>
      <c r="C5" s="19"/>
      <c r="D5" s="19"/>
      <c r="E5" s="19"/>
      <c r="F5" s="19"/>
    </row>
    <row r="6" spans="1:6" ht="15" customHeight="1" x14ac:dyDescent="0.55000000000000004">
      <c r="A6" s="19"/>
      <c r="B6" s="19"/>
      <c r="C6" s="19"/>
      <c r="D6" s="19"/>
      <c r="E6" s="19"/>
      <c r="F6" s="19"/>
    </row>
    <row r="7" spans="1:6" ht="15" customHeight="1" x14ac:dyDescent="0.55000000000000004">
      <c r="A7" s="19"/>
      <c r="B7" s="19"/>
      <c r="C7" s="19"/>
      <c r="D7" s="19"/>
      <c r="E7" s="19"/>
      <c r="F7" s="19"/>
    </row>
    <row r="8" spans="1:6" ht="15" customHeight="1" x14ac:dyDescent="0.55000000000000004">
      <c r="A8" s="19"/>
      <c r="B8" s="19"/>
      <c r="C8" s="19"/>
      <c r="D8" s="19"/>
      <c r="E8" s="19"/>
      <c r="F8" s="19"/>
    </row>
    <row r="9" spans="1:6" ht="15" customHeight="1" x14ac:dyDescent="0.55000000000000004">
      <c r="A9" s="19"/>
      <c r="B9" s="19"/>
      <c r="C9" s="19"/>
      <c r="D9" s="19"/>
      <c r="E9" s="19"/>
      <c r="F9" s="19"/>
    </row>
    <row r="10" spans="1:6" ht="15" customHeight="1" x14ac:dyDescent="0.55000000000000004">
      <c r="A10" s="19"/>
      <c r="B10" s="19"/>
      <c r="C10" s="19"/>
      <c r="D10" s="19"/>
      <c r="E10" s="19"/>
      <c r="F10" s="19"/>
    </row>
    <row r="11" spans="1:6" ht="15" customHeight="1" x14ac:dyDescent="0.55000000000000004">
      <c r="A11" s="19"/>
      <c r="B11" s="19"/>
      <c r="C11" s="19"/>
      <c r="D11" s="19"/>
      <c r="E11" s="19"/>
      <c r="F11" s="19"/>
    </row>
    <row r="12" spans="1:6" ht="15" customHeight="1" x14ac:dyDescent="0.55000000000000004">
      <c r="A12" s="19"/>
      <c r="B12" s="19"/>
      <c r="C12" s="19"/>
      <c r="D12" s="19"/>
      <c r="E12" s="19"/>
      <c r="F12" s="19"/>
    </row>
    <row r="13" spans="1:6" ht="15" customHeight="1" x14ac:dyDescent="0.55000000000000004">
      <c r="A13" s="19"/>
      <c r="B13" s="19"/>
      <c r="C13" s="19"/>
      <c r="D13" s="19"/>
      <c r="E13" s="19"/>
      <c r="F13" s="19"/>
    </row>
    <row r="14" spans="1:6" ht="15" customHeight="1" x14ac:dyDescent="0.55000000000000004">
      <c r="A14" s="19"/>
      <c r="B14" s="19"/>
      <c r="C14" s="19"/>
      <c r="D14" s="19"/>
      <c r="E14" s="19"/>
      <c r="F14" s="19"/>
    </row>
    <row r="15" spans="1:6" ht="15" customHeight="1" x14ac:dyDescent="0.55000000000000004">
      <c r="A15" s="19"/>
      <c r="B15" s="19"/>
      <c r="C15" s="19"/>
      <c r="D15" s="19"/>
      <c r="E15" s="19"/>
      <c r="F15" s="19"/>
    </row>
    <row r="16" spans="1:6" ht="15" customHeight="1" x14ac:dyDescent="0.55000000000000004">
      <c r="A16" s="19"/>
      <c r="B16" s="19"/>
      <c r="C16" s="19"/>
      <c r="D16" s="19"/>
      <c r="E16" s="19"/>
      <c r="F16" s="19"/>
    </row>
    <row r="17" spans="1:6" ht="15" customHeight="1" x14ac:dyDescent="0.55000000000000004">
      <c r="A17" s="19"/>
      <c r="B17" s="19"/>
      <c r="C17" s="19"/>
      <c r="D17" s="19"/>
      <c r="E17" s="19"/>
      <c r="F17" s="19"/>
    </row>
    <row r="18" spans="1:6" ht="15" customHeight="1" x14ac:dyDescent="0.55000000000000004">
      <c r="A18" s="19"/>
      <c r="B18" s="19"/>
      <c r="C18" s="19"/>
      <c r="D18" s="19"/>
      <c r="E18" s="19"/>
      <c r="F18" s="19"/>
    </row>
    <row r="19" spans="1:6" ht="15" customHeight="1" x14ac:dyDescent="0.55000000000000004">
      <c r="A19" s="19"/>
      <c r="B19" s="19"/>
      <c r="C19" s="19"/>
      <c r="D19" s="19"/>
      <c r="E19" s="19"/>
      <c r="F19" s="19"/>
    </row>
    <row r="20" spans="1:6" ht="15" customHeight="1" x14ac:dyDescent="0.55000000000000004">
      <c r="A20" s="19"/>
      <c r="B20" s="19"/>
      <c r="C20" s="19"/>
      <c r="D20" s="19"/>
      <c r="E20" s="19"/>
      <c r="F20" s="19"/>
    </row>
    <row r="21" spans="1:6" ht="15" customHeight="1" x14ac:dyDescent="0.55000000000000004">
      <c r="A21" s="19"/>
      <c r="B21" s="19"/>
      <c r="C21" s="19"/>
      <c r="D21" s="19"/>
      <c r="E21" s="19"/>
      <c r="F21" s="19"/>
    </row>
    <row r="22" spans="1:6" ht="15" customHeight="1" x14ac:dyDescent="0.55000000000000004">
      <c r="A22" s="19"/>
      <c r="B22" s="19"/>
      <c r="C22" s="19"/>
      <c r="D22" s="19"/>
      <c r="E22" s="19"/>
      <c r="F22" s="19"/>
    </row>
    <row r="23" spans="1:6" ht="15" customHeight="1" x14ac:dyDescent="0.55000000000000004">
      <c r="A23" s="19"/>
      <c r="B23" s="19"/>
      <c r="C23" s="19"/>
      <c r="D23" s="19"/>
      <c r="E23" s="19"/>
      <c r="F23" s="19"/>
    </row>
    <row r="24" spans="1:6" ht="15" customHeight="1" x14ac:dyDescent="0.55000000000000004">
      <c r="A24" s="19"/>
      <c r="B24" s="19"/>
      <c r="C24" s="19"/>
      <c r="D24" s="19"/>
      <c r="E24" s="19"/>
      <c r="F24" s="19"/>
    </row>
    <row r="25" spans="1:6" ht="15" customHeight="1" x14ac:dyDescent="0.55000000000000004">
      <c r="A25" s="19"/>
      <c r="B25" s="19"/>
      <c r="C25" s="19"/>
      <c r="D25" s="19"/>
      <c r="E25" s="19"/>
      <c r="F25" s="19"/>
    </row>
    <row r="26" spans="1:6" ht="15" customHeight="1" x14ac:dyDescent="0.55000000000000004">
      <c r="A26" s="19"/>
      <c r="B26" s="19"/>
      <c r="C26" s="19"/>
      <c r="D26" s="19"/>
      <c r="E26" s="19"/>
      <c r="F26" s="19"/>
    </row>
    <row r="27" spans="1:6" ht="15" customHeight="1" x14ac:dyDescent="0.55000000000000004">
      <c r="A27" s="19"/>
      <c r="B27" s="19"/>
      <c r="C27" s="19"/>
      <c r="D27" s="19"/>
      <c r="E27" s="19"/>
      <c r="F27" s="19"/>
    </row>
    <row r="28" spans="1:6" ht="15" customHeight="1" x14ac:dyDescent="0.55000000000000004">
      <c r="A28" s="19"/>
      <c r="B28" s="19"/>
      <c r="C28" s="19"/>
      <c r="D28" s="19"/>
      <c r="E28" s="19"/>
      <c r="F28" s="19"/>
    </row>
    <row r="29" spans="1:6" ht="15" customHeight="1" x14ac:dyDescent="0.55000000000000004">
      <c r="A29" s="19"/>
      <c r="B29" s="19"/>
      <c r="C29" s="19"/>
      <c r="D29" s="19"/>
      <c r="E29" s="19"/>
      <c r="F29" s="19"/>
    </row>
    <row r="30" spans="1:6" ht="15" customHeight="1" x14ac:dyDescent="0.55000000000000004">
      <c r="A30" s="19"/>
      <c r="B30" s="19"/>
      <c r="C30" s="19"/>
      <c r="D30" s="19"/>
      <c r="E30" s="19"/>
      <c r="F30" s="19"/>
    </row>
    <row r="31" spans="1:6" ht="15" customHeight="1" x14ac:dyDescent="0.55000000000000004">
      <c r="A31" s="19"/>
      <c r="B31" s="19"/>
      <c r="C31" s="19"/>
      <c r="D31" s="19"/>
      <c r="E31" s="19"/>
      <c r="F31" s="19"/>
    </row>
    <row r="32" spans="1:6" ht="15" customHeight="1" x14ac:dyDescent="0.55000000000000004">
      <c r="A32" s="19"/>
      <c r="B32" s="19"/>
      <c r="C32" s="19"/>
      <c r="D32" s="19"/>
      <c r="E32" s="19"/>
      <c r="F32" s="19"/>
    </row>
    <row r="33" spans="1:6" ht="15" customHeight="1" x14ac:dyDescent="0.55000000000000004">
      <c r="A33" s="19"/>
      <c r="B33" s="19"/>
      <c r="C33" s="19"/>
      <c r="D33" s="19"/>
      <c r="E33" s="19"/>
      <c r="F33" s="19"/>
    </row>
    <row r="34" spans="1:6" ht="15" customHeight="1" x14ac:dyDescent="0.55000000000000004">
      <c r="A34" s="19"/>
      <c r="B34" s="19"/>
      <c r="C34" s="19"/>
      <c r="D34" s="19"/>
      <c r="E34" s="19"/>
      <c r="F34" s="19"/>
    </row>
    <row r="35" spans="1:6" ht="15" customHeight="1" x14ac:dyDescent="0.55000000000000004">
      <c r="A35" s="19"/>
      <c r="B35" s="19"/>
      <c r="C35" s="19"/>
      <c r="D35" s="19"/>
      <c r="E35" s="19"/>
      <c r="F35" s="19"/>
    </row>
    <row r="36" spans="1:6" ht="15" customHeight="1" x14ac:dyDescent="0.55000000000000004">
      <c r="A36" s="19"/>
      <c r="B36" s="19"/>
      <c r="C36" s="19"/>
      <c r="D36" s="19"/>
      <c r="E36" s="19"/>
      <c r="F36" s="19"/>
    </row>
    <row r="37" spans="1:6" ht="15" customHeight="1" x14ac:dyDescent="0.55000000000000004">
      <c r="A37" s="19"/>
      <c r="B37" s="19"/>
      <c r="C37" s="19"/>
      <c r="D37" s="19"/>
      <c r="E37" s="19"/>
      <c r="F37" s="19"/>
    </row>
    <row r="38" spans="1:6" ht="15" customHeight="1" x14ac:dyDescent="0.55000000000000004">
      <c r="A38" s="19"/>
      <c r="B38" s="19"/>
      <c r="C38" s="19"/>
      <c r="D38" s="19"/>
      <c r="E38" s="19"/>
      <c r="F38" s="19"/>
    </row>
    <row r="39" spans="1:6" ht="15" customHeight="1" x14ac:dyDescent="0.55000000000000004">
      <c r="A39" s="19"/>
      <c r="B39" s="19"/>
      <c r="C39" s="19"/>
      <c r="D39" s="19"/>
      <c r="E39" s="19"/>
      <c r="F39" s="19"/>
    </row>
    <row r="40" spans="1:6" ht="15" customHeight="1" x14ac:dyDescent="0.55000000000000004">
      <c r="A40" s="19"/>
      <c r="B40" s="19"/>
      <c r="C40" s="19"/>
      <c r="D40" s="19"/>
      <c r="E40" s="19"/>
      <c r="F40" s="19"/>
    </row>
    <row r="41" spans="1:6" ht="15" customHeight="1" x14ac:dyDescent="0.55000000000000004">
      <c r="A41" s="19"/>
      <c r="B41" s="19"/>
      <c r="C41" s="19"/>
      <c r="D41" s="19"/>
      <c r="E41" s="19"/>
      <c r="F41" s="19"/>
    </row>
    <row r="42" spans="1:6" ht="15" customHeight="1" x14ac:dyDescent="0.55000000000000004">
      <c r="A42" s="19"/>
      <c r="B42" s="19"/>
      <c r="C42" s="19"/>
      <c r="D42" s="19"/>
      <c r="E42" s="19"/>
      <c r="F42" s="19"/>
    </row>
    <row r="43" spans="1:6" ht="15" customHeight="1" x14ac:dyDescent="0.55000000000000004">
      <c r="A43" s="19"/>
      <c r="B43" s="19"/>
      <c r="C43" s="19"/>
      <c r="D43" s="19"/>
      <c r="E43" s="19"/>
      <c r="F43" s="19"/>
    </row>
    <row r="44" spans="1:6" ht="15" customHeight="1" x14ac:dyDescent="0.55000000000000004">
      <c r="A44" s="19"/>
      <c r="B44" s="19"/>
      <c r="C44" s="19"/>
      <c r="D44" s="19"/>
      <c r="E44" s="19"/>
      <c r="F44" s="19"/>
    </row>
    <row r="45" spans="1:6" ht="15" customHeight="1" x14ac:dyDescent="0.55000000000000004">
      <c r="A45" s="19"/>
      <c r="B45" s="19"/>
      <c r="C45" s="19"/>
      <c r="D45" s="19"/>
      <c r="E45" s="19"/>
      <c r="F45" s="19"/>
    </row>
    <row r="46" spans="1:6" ht="15" customHeight="1" x14ac:dyDescent="0.55000000000000004">
      <c r="A46" s="19"/>
      <c r="B46" s="19"/>
      <c r="C46" s="19"/>
      <c r="D46" s="19"/>
      <c r="E46" s="19"/>
      <c r="F46" s="19"/>
    </row>
    <row r="47" spans="1:6" ht="15" customHeight="1" x14ac:dyDescent="0.55000000000000004">
      <c r="A47" s="19"/>
      <c r="B47" s="19"/>
      <c r="C47" s="19"/>
      <c r="D47" s="19"/>
      <c r="E47" s="19"/>
      <c r="F47" s="19"/>
    </row>
    <row r="48" spans="1:6" ht="15" customHeight="1" x14ac:dyDescent="0.55000000000000004">
      <c r="A48" s="19"/>
      <c r="B48" s="19"/>
      <c r="C48" s="19"/>
      <c r="D48" s="19"/>
      <c r="E48" s="19"/>
      <c r="F48" s="19"/>
    </row>
    <row r="49" spans="1:6" ht="15" customHeight="1" x14ac:dyDescent="0.55000000000000004">
      <c r="A49" s="19"/>
      <c r="B49" s="19"/>
      <c r="C49" s="19"/>
      <c r="D49" s="19"/>
      <c r="E49" s="19"/>
      <c r="F49" s="19"/>
    </row>
    <row r="50" spans="1:6" ht="15" customHeight="1" x14ac:dyDescent="0.55000000000000004">
      <c r="A50" s="19"/>
      <c r="B50" s="19"/>
      <c r="C50" s="19"/>
      <c r="D50" s="19"/>
      <c r="E50" s="19"/>
      <c r="F50" s="19"/>
    </row>
    <row r="51" spans="1:6" ht="15" customHeight="1" x14ac:dyDescent="0.55000000000000004">
      <c r="A51" s="19"/>
      <c r="B51" s="19"/>
      <c r="C51" s="19"/>
      <c r="D51" s="19"/>
      <c r="E51" s="19"/>
      <c r="F51" s="19"/>
    </row>
    <row r="52" spans="1:6" ht="15" customHeight="1" x14ac:dyDescent="0.55000000000000004">
      <c r="A52" s="19"/>
      <c r="B52" s="19"/>
      <c r="C52" s="19"/>
      <c r="D52" s="19"/>
      <c r="E52" s="19"/>
      <c r="F52" s="19"/>
    </row>
    <row r="53" spans="1:6" ht="15" customHeight="1" x14ac:dyDescent="0.55000000000000004">
      <c r="A53" s="19"/>
      <c r="B53" s="19"/>
      <c r="C53" s="19"/>
      <c r="D53" s="19"/>
      <c r="E53" s="19"/>
      <c r="F53" s="19"/>
    </row>
    <row r="54" spans="1:6" ht="15" customHeight="1" x14ac:dyDescent="0.55000000000000004">
      <c r="A54" s="19"/>
      <c r="B54" s="19"/>
      <c r="C54" s="19"/>
      <c r="D54" s="19"/>
      <c r="E54" s="19"/>
      <c r="F54" s="19"/>
    </row>
    <row r="55" spans="1:6" ht="15" customHeight="1" x14ac:dyDescent="0.55000000000000004">
      <c r="A55" s="19"/>
      <c r="B55" s="19"/>
      <c r="C55" s="19"/>
      <c r="D55" s="19"/>
      <c r="E55" s="19"/>
      <c r="F55" s="19"/>
    </row>
    <row r="56" spans="1:6" ht="15" customHeight="1" x14ac:dyDescent="0.55000000000000004">
      <c r="A56" s="19"/>
      <c r="B56" s="19"/>
      <c r="C56" s="19"/>
      <c r="D56" s="19"/>
      <c r="E56" s="19"/>
      <c r="F56" s="19"/>
    </row>
    <row r="57" spans="1:6" ht="15" customHeight="1" x14ac:dyDescent="0.55000000000000004">
      <c r="A57" s="19"/>
      <c r="B57" s="19"/>
      <c r="C57" s="19"/>
      <c r="D57" s="19"/>
      <c r="E57" s="19"/>
      <c r="F57" s="19"/>
    </row>
    <row r="58" spans="1:6" ht="15" customHeight="1" x14ac:dyDescent="0.55000000000000004">
      <c r="A58" s="19"/>
      <c r="B58" s="19"/>
      <c r="C58" s="19"/>
      <c r="D58" s="19"/>
      <c r="E58" s="19"/>
      <c r="F58" s="19"/>
    </row>
    <row r="59" spans="1:6" ht="15" customHeight="1" x14ac:dyDescent="0.55000000000000004">
      <c r="A59" s="19"/>
      <c r="B59" s="19"/>
      <c r="C59" s="19"/>
      <c r="D59" s="19"/>
      <c r="E59" s="19"/>
      <c r="F59" s="19"/>
    </row>
    <row r="60" spans="1:6" ht="15" customHeight="1" x14ac:dyDescent="0.55000000000000004">
      <c r="A60" s="19"/>
      <c r="B60" s="19"/>
      <c r="C60" s="19"/>
      <c r="D60" s="19"/>
      <c r="E60" s="19"/>
      <c r="F60" s="19"/>
    </row>
    <row r="61" spans="1:6" ht="15" customHeight="1" x14ac:dyDescent="0.55000000000000004">
      <c r="A61" s="19"/>
      <c r="B61" s="19"/>
      <c r="C61" s="19"/>
      <c r="D61" s="19"/>
      <c r="E61" s="19"/>
      <c r="F61" s="19"/>
    </row>
    <row r="62" spans="1:6" ht="15" customHeight="1" x14ac:dyDescent="0.55000000000000004">
      <c r="A62" s="19"/>
      <c r="B62" s="19"/>
      <c r="C62" s="19"/>
      <c r="D62" s="19"/>
      <c r="E62" s="19"/>
      <c r="F62" s="19"/>
    </row>
    <row r="63" spans="1:6" ht="15" customHeight="1" x14ac:dyDescent="0.55000000000000004">
      <c r="A63" s="19"/>
      <c r="B63" s="19"/>
      <c r="C63" s="19"/>
      <c r="D63" s="19"/>
      <c r="E63" s="19"/>
      <c r="F63" s="19"/>
    </row>
    <row r="64" spans="1:6" ht="15" customHeight="1" x14ac:dyDescent="0.55000000000000004">
      <c r="A64" s="19"/>
      <c r="B64" s="19"/>
      <c r="C64" s="19"/>
      <c r="D64" s="19"/>
      <c r="E64" s="19"/>
      <c r="F64" s="19"/>
    </row>
    <row r="65" spans="1:6" ht="15" customHeight="1" x14ac:dyDescent="0.55000000000000004">
      <c r="A65" s="19"/>
      <c r="B65" s="19"/>
      <c r="C65" s="19"/>
      <c r="D65" s="19"/>
      <c r="E65" s="19"/>
      <c r="F65" s="19"/>
    </row>
    <row r="66" spans="1:6" ht="15" customHeight="1" x14ac:dyDescent="0.55000000000000004">
      <c r="A66" s="19"/>
      <c r="B66" s="19"/>
      <c r="C66" s="19"/>
      <c r="D66" s="19"/>
      <c r="E66" s="19"/>
      <c r="F66" s="19"/>
    </row>
    <row r="67" spans="1:6" ht="15" customHeight="1" x14ac:dyDescent="0.55000000000000004">
      <c r="A67" s="19"/>
      <c r="B67" s="19"/>
      <c r="C67" s="19"/>
      <c r="D67" s="19"/>
      <c r="E67" s="19"/>
      <c r="F67" s="19"/>
    </row>
    <row r="68" spans="1:6" ht="15" customHeight="1" x14ac:dyDescent="0.55000000000000004">
      <c r="A68" s="19"/>
      <c r="B68" s="19"/>
      <c r="C68" s="19"/>
      <c r="D68" s="19"/>
      <c r="E68" s="19"/>
      <c r="F68" s="19"/>
    </row>
    <row r="69" spans="1:6" ht="15" customHeight="1" x14ac:dyDescent="0.55000000000000004">
      <c r="A69" s="19"/>
      <c r="B69" s="19"/>
      <c r="C69" s="19"/>
      <c r="D69" s="19"/>
      <c r="E69" s="19"/>
      <c r="F69" s="19"/>
    </row>
    <row r="70" spans="1:6" ht="15" customHeight="1" x14ac:dyDescent="0.55000000000000004">
      <c r="A70" s="19"/>
      <c r="B70" s="19"/>
      <c r="C70" s="19"/>
      <c r="D70" s="19"/>
      <c r="E70" s="19"/>
      <c r="F70" s="19"/>
    </row>
    <row r="71" spans="1:6" ht="15" customHeight="1" x14ac:dyDescent="0.55000000000000004">
      <c r="A71" s="19"/>
      <c r="B71" s="19"/>
      <c r="C71" s="19"/>
      <c r="D71" s="19"/>
      <c r="E71" s="19"/>
      <c r="F71" s="19"/>
    </row>
    <row r="72" spans="1:6" ht="15" customHeight="1" x14ac:dyDescent="0.55000000000000004">
      <c r="A72" s="19"/>
      <c r="B72" s="19"/>
      <c r="C72" s="19"/>
      <c r="D72" s="19"/>
      <c r="E72" s="19"/>
      <c r="F72" s="19"/>
    </row>
    <row r="73" spans="1:6" ht="15" customHeight="1" x14ac:dyDescent="0.55000000000000004">
      <c r="A73" s="19"/>
      <c r="B73" s="19"/>
      <c r="C73" s="19"/>
      <c r="D73" s="19"/>
      <c r="E73" s="19"/>
      <c r="F73" s="19"/>
    </row>
    <row r="74" spans="1:6" ht="15" customHeight="1" x14ac:dyDescent="0.55000000000000004">
      <c r="A74" s="19"/>
      <c r="B74" s="19"/>
      <c r="C74" s="19"/>
      <c r="D74" s="19"/>
      <c r="E74" s="19"/>
      <c r="F74" s="19"/>
    </row>
    <row r="75" spans="1:6" ht="15" customHeight="1" x14ac:dyDescent="0.55000000000000004">
      <c r="A75" s="19"/>
      <c r="B75" s="19"/>
      <c r="C75" s="19"/>
      <c r="D75" s="19"/>
      <c r="E75" s="19"/>
      <c r="F75" s="19"/>
    </row>
    <row r="76" spans="1:6" ht="15" customHeight="1" x14ac:dyDescent="0.55000000000000004">
      <c r="A76" s="19"/>
      <c r="B76" s="19"/>
      <c r="C76" s="19"/>
      <c r="D76" s="19"/>
      <c r="E76" s="19"/>
      <c r="F76" s="19"/>
    </row>
    <row r="77" spans="1:6" ht="15" customHeight="1" x14ac:dyDescent="0.55000000000000004">
      <c r="A77" s="19"/>
      <c r="B77" s="19"/>
      <c r="C77" s="19"/>
      <c r="D77" s="19"/>
      <c r="E77" s="19"/>
      <c r="F77" s="19"/>
    </row>
    <row r="78" spans="1:6" ht="15" customHeight="1" x14ac:dyDescent="0.55000000000000004">
      <c r="A78" s="19"/>
      <c r="B78" s="19"/>
      <c r="C78" s="19"/>
      <c r="D78" s="19"/>
      <c r="E78" s="19"/>
      <c r="F78" s="19"/>
    </row>
    <row r="79" spans="1:6" ht="15" customHeight="1" x14ac:dyDescent="0.55000000000000004">
      <c r="A79" s="19"/>
      <c r="B79" s="19"/>
      <c r="C79" s="19"/>
      <c r="D79" s="19"/>
      <c r="E79" s="19"/>
      <c r="F79" s="19"/>
    </row>
    <row r="80" spans="1:6" ht="15" customHeight="1" x14ac:dyDescent="0.55000000000000004">
      <c r="A80" s="19"/>
      <c r="B80" s="19"/>
      <c r="C80" s="19"/>
      <c r="D80" s="19"/>
      <c r="E80" s="19"/>
      <c r="F80" s="19"/>
    </row>
    <row r="81" spans="1:6" ht="15" customHeight="1" x14ac:dyDescent="0.55000000000000004">
      <c r="A81" s="19"/>
      <c r="B81" s="19"/>
      <c r="C81" s="19"/>
      <c r="D81" s="19"/>
      <c r="E81" s="19"/>
      <c r="F81" s="19"/>
    </row>
    <row r="82" spans="1:6" ht="15" customHeight="1" x14ac:dyDescent="0.55000000000000004">
      <c r="A82" s="19"/>
      <c r="B82" s="19"/>
      <c r="C82" s="19"/>
      <c r="D82" s="19"/>
      <c r="E82" s="19"/>
      <c r="F82" s="19"/>
    </row>
    <row r="83" spans="1:6" ht="15" customHeight="1" x14ac:dyDescent="0.55000000000000004">
      <c r="A83" s="19"/>
      <c r="B83" s="19"/>
      <c r="C83" s="19"/>
      <c r="D83" s="19"/>
      <c r="E83" s="19"/>
      <c r="F83" s="19"/>
    </row>
    <row r="84" spans="1:6" ht="15" customHeight="1" x14ac:dyDescent="0.55000000000000004">
      <c r="A84" s="19"/>
      <c r="B84" s="19"/>
      <c r="C84" s="19"/>
      <c r="D84" s="19"/>
      <c r="E84" s="19"/>
      <c r="F84" s="19"/>
    </row>
    <row r="85" spans="1:6" ht="15" customHeight="1" x14ac:dyDescent="0.55000000000000004">
      <c r="A85" s="19"/>
      <c r="B85" s="19"/>
      <c r="C85" s="19"/>
      <c r="D85" s="19"/>
      <c r="E85" s="19"/>
      <c r="F85" s="19"/>
    </row>
    <row r="86" spans="1:6" ht="15" customHeight="1" x14ac:dyDescent="0.55000000000000004">
      <c r="A86" s="19"/>
      <c r="B86" s="19"/>
      <c r="C86" s="19"/>
      <c r="D86" s="19"/>
      <c r="E86" s="19"/>
      <c r="F86" s="19"/>
    </row>
    <row r="87" spans="1:6" ht="15" customHeight="1" x14ac:dyDescent="0.55000000000000004">
      <c r="A87" s="19"/>
      <c r="B87" s="19"/>
      <c r="C87" s="19"/>
      <c r="D87" s="19"/>
      <c r="E87" s="19"/>
      <c r="F87" s="19"/>
    </row>
    <row r="88" spans="1:6" ht="15" customHeight="1" x14ac:dyDescent="0.55000000000000004">
      <c r="A88" s="19"/>
      <c r="B88" s="19"/>
      <c r="C88" s="19"/>
      <c r="D88" s="19"/>
      <c r="E88" s="19"/>
      <c r="F88" s="19"/>
    </row>
    <row r="89" spans="1:6" ht="15" customHeight="1" x14ac:dyDescent="0.55000000000000004">
      <c r="A89" s="19"/>
      <c r="B89" s="19"/>
      <c r="C89" s="19"/>
      <c r="D89" s="19"/>
      <c r="E89" s="19"/>
      <c r="F89" s="19"/>
    </row>
    <row r="90" spans="1:6" ht="15" customHeight="1" x14ac:dyDescent="0.55000000000000004">
      <c r="A90" s="19"/>
      <c r="B90" s="19"/>
      <c r="C90" s="19"/>
      <c r="D90" s="19"/>
      <c r="E90" s="19"/>
      <c r="F90" s="19"/>
    </row>
    <row r="91" spans="1:6" ht="15" customHeight="1" x14ac:dyDescent="0.55000000000000004">
      <c r="A91" s="19"/>
      <c r="B91" s="19"/>
      <c r="C91" s="19"/>
      <c r="D91" s="19"/>
      <c r="E91" s="19"/>
      <c r="F91" s="19"/>
    </row>
    <row r="92" spans="1:6" ht="15" customHeight="1" x14ac:dyDescent="0.55000000000000004">
      <c r="A92" s="19"/>
      <c r="B92" s="19"/>
      <c r="C92" s="19"/>
      <c r="D92" s="19"/>
      <c r="E92" s="19"/>
      <c r="F92" s="19"/>
    </row>
    <row r="93" spans="1:6" ht="15" customHeight="1" x14ac:dyDescent="0.55000000000000004">
      <c r="A93" s="19"/>
      <c r="B93" s="19"/>
      <c r="C93" s="19"/>
      <c r="D93" s="19"/>
      <c r="E93" s="19"/>
      <c r="F93" s="19"/>
    </row>
    <row r="94" spans="1:6" ht="15" customHeight="1" x14ac:dyDescent="0.55000000000000004">
      <c r="A94" s="19"/>
      <c r="B94" s="19"/>
      <c r="C94" s="19"/>
      <c r="D94" s="19"/>
      <c r="E94" s="19"/>
      <c r="F94" s="19"/>
    </row>
    <row r="95" spans="1:6" ht="15" customHeight="1" x14ac:dyDescent="0.55000000000000004">
      <c r="A95" s="19"/>
      <c r="B95" s="19"/>
      <c r="C95" s="19"/>
      <c r="D95" s="19"/>
      <c r="E95" s="19"/>
      <c r="F95" s="19"/>
    </row>
    <row r="96" spans="1:6" ht="15" customHeight="1" x14ac:dyDescent="0.55000000000000004">
      <c r="A96" s="19"/>
      <c r="B96" s="19"/>
      <c r="C96" s="19"/>
      <c r="D96" s="19"/>
      <c r="E96" s="19"/>
      <c r="F96" s="19"/>
    </row>
    <row r="97" spans="1:6" ht="15" customHeight="1" x14ac:dyDescent="0.55000000000000004">
      <c r="A97" s="19"/>
      <c r="B97" s="19"/>
      <c r="C97" s="19"/>
      <c r="D97" s="19"/>
      <c r="E97" s="19"/>
      <c r="F97" s="19"/>
    </row>
    <row r="98" spans="1:6" ht="15" customHeight="1" x14ac:dyDescent="0.55000000000000004">
      <c r="A98" s="19"/>
      <c r="B98" s="19"/>
      <c r="C98" s="19"/>
      <c r="D98" s="19"/>
      <c r="E98" s="19"/>
      <c r="F98" s="19"/>
    </row>
    <row r="99" spans="1:6" ht="15" customHeight="1" x14ac:dyDescent="0.55000000000000004">
      <c r="A99" s="19"/>
      <c r="B99" s="19"/>
      <c r="C99" s="19"/>
      <c r="D99" s="19"/>
      <c r="E99" s="19"/>
      <c r="F99" s="19"/>
    </row>
    <row r="100" spans="1:6" ht="15" customHeight="1" x14ac:dyDescent="0.55000000000000004">
      <c r="A100" s="19"/>
      <c r="B100" s="19"/>
      <c r="C100" s="19"/>
      <c r="D100" s="19"/>
      <c r="E100" s="19"/>
      <c r="F100" s="19"/>
    </row>
    <row r="101" spans="1:6" ht="15" customHeight="1" x14ac:dyDescent="0.55000000000000004">
      <c r="A101" s="19"/>
      <c r="B101" s="19"/>
      <c r="C101" s="19"/>
      <c r="D101" s="19"/>
      <c r="E101" s="19"/>
      <c r="F101" s="19"/>
    </row>
    <row r="102" spans="1:6" ht="15" customHeight="1" x14ac:dyDescent="0.55000000000000004">
      <c r="A102" s="19"/>
      <c r="B102" s="19"/>
      <c r="C102" s="19"/>
      <c r="D102" s="19"/>
      <c r="E102" s="19"/>
      <c r="F102" s="19"/>
    </row>
    <row r="103" spans="1:6" ht="15" customHeight="1" x14ac:dyDescent="0.55000000000000004">
      <c r="A103" s="19"/>
      <c r="B103" s="19"/>
      <c r="C103" s="19"/>
      <c r="D103" s="19"/>
      <c r="E103" s="19"/>
      <c r="F103" s="19"/>
    </row>
    <row r="104" spans="1:6" ht="15" customHeight="1" x14ac:dyDescent="0.55000000000000004">
      <c r="A104" s="19"/>
      <c r="B104" s="19"/>
      <c r="C104" s="19"/>
      <c r="D104" s="19"/>
      <c r="E104" s="19"/>
      <c r="F104" s="19"/>
    </row>
    <row r="105" spans="1:6" ht="15" customHeight="1" x14ac:dyDescent="0.55000000000000004">
      <c r="A105" s="19"/>
      <c r="B105" s="19"/>
      <c r="C105" s="19"/>
      <c r="D105" s="19"/>
      <c r="E105" s="19"/>
      <c r="F105" s="19"/>
    </row>
    <row r="106" spans="1:6" ht="15" customHeight="1" x14ac:dyDescent="0.55000000000000004">
      <c r="A106" s="19"/>
      <c r="B106" s="19"/>
      <c r="C106" s="19"/>
      <c r="D106" s="19"/>
      <c r="E106" s="19"/>
      <c r="F106" s="19"/>
    </row>
    <row r="107" spans="1:6" ht="15" customHeight="1" x14ac:dyDescent="0.55000000000000004">
      <c r="A107" s="19"/>
      <c r="B107" s="19"/>
      <c r="C107" s="19"/>
      <c r="D107" s="19"/>
      <c r="E107" s="19"/>
      <c r="F107" s="19"/>
    </row>
    <row r="108" spans="1:6" ht="15" customHeight="1" x14ac:dyDescent="0.55000000000000004">
      <c r="A108" s="19"/>
      <c r="B108" s="19"/>
      <c r="C108" s="19"/>
      <c r="D108" s="19"/>
      <c r="E108" s="19"/>
      <c r="F108" s="19"/>
    </row>
    <row r="109" spans="1:6" ht="15" customHeight="1" x14ac:dyDescent="0.55000000000000004">
      <c r="A109" s="19"/>
      <c r="B109" s="19"/>
      <c r="C109" s="19"/>
      <c r="D109" s="19"/>
      <c r="E109" s="19"/>
      <c r="F109" s="19"/>
    </row>
    <row r="110" spans="1:6" ht="15" customHeight="1" x14ac:dyDescent="0.55000000000000004">
      <c r="A110" s="19"/>
      <c r="B110" s="19"/>
      <c r="C110" s="19"/>
      <c r="D110" s="19"/>
      <c r="E110" s="19"/>
      <c r="F110" s="19"/>
    </row>
    <row r="111" spans="1:6" ht="15" customHeight="1" x14ac:dyDescent="0.55000000000000004">
      <c r="A111" s="19"/>
      <c r="B111" s="19"/>
      <c r="C111" s="19"/>
      <c r="D111" s="19"/>
      <c r="E111" s="19"/>
      <c r="F111" s="19"/>
    </row>
    <row r="112" spans="1:6" ht="15" customHeight="1" x14ac:dyDescent="0.55000000000000004">
      <c r="A112" s="19"/>
      <c r="B112" s="19"/>
      <c r="C112" s="19"/>
      <c r="D112" s="19"/>
      <c r="E112" s="19"/>
      <c r="F112" s="19"/>
    </row>
    <row r="113" spans="1:6" ht="15" customHeight="1" x14ac:dyDescent="0.55000000000000004">
      <c r="A113" s="19"/>
      <c r="B113" s="19"/>
      <c r="C113" s="19"/>
      <c r="D113" s="19"/>
      <c r="E113" s="19"/>
      <c r="F113" s="19"/>
    </row>
    <row r="114" spans="1:6" ht="15" customHeight="1" x14ac:dyDescent="0.55000000000000004">
      <c r="A114" s="19"/>
      <c r="B114" s="19"/>
      <c r="C114" s="19"/>
      <c r="D114" s="19"/>
      <c r="E114" s="19"/>
      <c r="F114" s="19"/>
    </row>
    <row r="115" spans="1:6" ht="15" customHeight="1" x14ac:dyDescent="0.55000000000000004">
      <c r="A115" s="19"/>
      <c r="B115" s="19"/>
      <c r="C115" s="19"/>
      <c r="D115" s="19"/>
      <c r="E115" s="19"/>
      <c r="F115" s="19"/>
    </row>
    <row r="116" spans="1:6" ht="15" customHeight="1" x14ac:dyDescent="0.55000000000000004">
      <c r="A116" s="19"/>
      <c r="B116" s="19"/>
      <c r="C116" s="19"/>
      <c r="D116" s="19"/>
      <c r="E116" s="19"/>
      <c r="F116" s="19"/>
    </row>
    <row r="117" spans="1:6" ht="15" customHeight="1" x14ac:dyDescent="0.55000000000000004">
      <c r="A117" s="19"/>
      <c r="B117" s="19"/>
      <c r="C117" s="19"/>
      <c r="D117" s="19"/>
      <c r="E117" s="19"/>
      <c r="F117" s="19"/>
    </row>
    <row r="118" spans="1:6" ht="15" customHeight="1" x14ac:dyDescent="0.55000000000000004">
      <c r="A118" s="19"/>
      <c r="B118" s="19"/>
      <c r="C118" s="19"/>
      <c r="D118" s="19"/>
      <c r="E118" s="19"/>
      <c r="F118" s="19"/>
    </row>
    <row r="119" spans="1:6" ht="15" customHeight="1" x14ac:dyDescent="0.55000000000000004">
      <c r="A119" s="19"/>
      <c r="B119" s="19"/>
      <c r="C119" s="19"/>
      <c r="D119" s="19"/>
      <c r="E119" s="19"/>
      <c r="F119" s="19"/>
    </row>
    <row r="120" spans="1:6" ht="15" customHeight="1" x14ac:dyDescent="0.55000000000000004">
      <c r="A120" s="19"/>
      <c r="B120" s="19"/>
      <c r="C120" s="19"/>
      <c r="D120" s="19"/>
      <c r="E120" s="19"/>
      <c r="F120" s="19"/>
    </row>
    <row r="121" spans="1:6" ht="15" customHeight="1" x14ac:dyDescent="0.55000000000000004">
      <c r="A121" s="19"/>
      <c r="B121" s="19"/>
      <c r="C121" s="19"/>
      <c r="D121" s="19"/>
      <c r="E121" s="19"/>
      <c r="F121" s="19"/>
    </row>
    <row r="122" spans="1:6" ht="15" customHeight="1" x14ac:dyDescent="0.55000000000000004">
      <c r="A122" s="19"/>
      <c r="B122" s="19"/>
      <c r="C122" s="19"/>
      <c r="D122" s="19"/>
      <c r="E122" s="19"/>
      <c r="F122" s="19"/>
    </row>
    <row r="123" spans="1:6" ht="15" customHeight="1" x14ac:dyDescent="0.55000000000000004">
      <c r="A123" s="19"/>
      <c r="B123" s="19"/>
      <c r="C123" s="19"/>
      <c r="D123" s="19"/>
      <c r="E123" s="19"/>
      <c r="F123" s="19"/>
    </row>
    <row r="124" spans="1:6" ht="15" customHeight="1" x14ac:dyDescent="0.55000000000000004">
      <c r="A124" s="19"/>
      <c r="B124" s="19"/>
      <c r="C124" s="19"/>
      <c r="D124" s="19"/>
      <c r="E124" s="19"/>
      <c r="F124" s="19"/>
    </row>
    <row r="125" spans="1:6" ht="15" customHeight="1" x14ac:dyDescent="0.55000000000000004">
      <c r="A125" s="19"/>
      <c r="B125" s="19"/>
      <c r="C125" s="19"/>
      <c r="D125" s="19"/>
      <c r="E125" s="19"/>
      <c r="F125" s="19"/>
    </row>
    <row r="126" spans="1:6" ht="15" customHeight="1" x14ac:dyDescent="0.55000000000000004">
      <c r="A126" s="19"/>
      <c r="B126" s="19"/>
      <c r="C126" s="19"/>
      <c r="D126" s="19"/>
      <c r="E126" s="19"/>
      <c r="F126" s="19"/>
    </row>
    <row r="127" spans="1:6" ht="15" customHeight="1" x14ac:dyDescent="0.55000000000000004">
      <c r="A127" s="19"/>
      <c r="B127" s="19"/>
      <c r="C127" s="19"/>
      <c r="D127" s="19"/>
      <c r="E127" s="19"/>
      <c r="F127" s="19"/>
    </row>
    <row r="128" spans="1:6" ht="15" customHeight="1" x14ac:dyDescent="0.55000000000000004">
      <c r="A128" s="19"/>
      <c r="B128" s="19"/>
      <c r="C128" s="19"/>
      <c r="D128" s="19"/>
      <c r="E128" s="19"/>
      <c r="F128" s="19"/>
    </row>
    <row r="129" spans="1:6" ht="15" customHeight="1" x14ac:dyDescent="0.55000000000000004">
      <c r="A129" s="19"/>
      <c r="B129" s="19"/>
      <c r="C129" s="19"/>
      <c r="D129" s="19"/>
      <c r="E129" s="19"/>
      <c r="F129" s="19"/>
    </row>
    <row r="130" spans="1:6" ht="15" customHeight="1" x14ac:dyDescent="0.55000000000000004">
      <c r="A130" s="19"/>
      <c r="B130" s="19"/>
      <c r="C130" s="19"/>
      <c r="D130" s="19"/>
      <c r="E130" s="19"/>
      <c r="F130" s="19"/>
    </row>
    <row r="131" spans="1:6" ht="15" customHeight="1" x14ac:dyDescent="0.55000000000000004">
      <c r="A131" s="19"/>
      <c r="B131" s="19"/>
      <c r="C131" s="19"/>
      <c r="D131" s="19"/>
      <c r="E131" s="19"/>
      <c r="F131" s="19"/>
    </row>
    <row r="132" spans="1:6" ht="15" customHeight="1" x14ac:dyDescent="0.55000000000000004">
      <c r="A132" s="19"/>
      <c r="B132" s="19"/>
      <c r="C132" s="19"/>
      <c r="D132" s="19"/>
      <c r="E132" s="19"/>
      <c r="F132" s="19"/>
    </row>
    <row r="133" spans="1:6" ht="15" customHeight="1" x14ac:dyDescent="0.55000000000000004">
      <c r="A133" s="19"/>
      <c r="B133" s="19"/>
      <c r="C133" s="19"/>
      <c r="D133" s="19"/>
      <c r="E133" s="19"/>
      <c r="F133" s="19"/>
    </row>
    <row r="134" spans="1:6" ht="15" customHeight="1" x14ac:dyDescent="0.55000000000000004">
      <c r="A134" s="19"/>
      <c r="B134" s="19"/>
      <c r="C134" s="19"/>
      <c r="D134" s="19"/>
      <c r="E134" s="19"/>
      <c r="F134" s="19"/>
    </row>
    <row r="135" spans="1:6" ht="15" customHeight="1" x14ac:dyDescent="0.55000000000000004">
      <c r="A135" s="19"/>
      <c r="B135" s="19"/>
      <c r="C135" s="19"/>
      <c r="D135" s="19"/>
      <c r="E135" s="19"/>
      <c r="F135" s="19"/>
    </row>
    <row r="136" spans="1:6" ht="15" customHeight="1" x14ac:dyDescent="0.55000000000000004">
      <c r="A136" s="19"/>
      <c r="B136" s="19"/>
      <c r="C136" s="19"/>
      <c r="D136" s="19"/>
      <c r="E136" s="19"/>
      <c r="F136" s="19"/>
    </row>
    <row r="137" spans="1:6" ht="15" customHeight="1" x14ac:dyDescent="0.55000000000000004">
      <c r="A137" s="19"/>
      <c r="B137" s="19"/>
      <c r="C137" s="19"/>
      <c r="D137" s="19"/>
      <c r="E137" s="19"/>
      <c r="F137" s="19"/>
    </row>
    <row r="138" spans="1:6" ht="15" customHeight="1" x14ac:dyDescent="0.55000000000000004">
      <c r="A138" s="19"/>
      <c r="B138" s="19"/>
      <c r="C138" s="19"/>
      <c r="D138" s="19"/>
      <c r="E138" s="19"/>
      <c r="F138" s="19"/>
    </row>
    <row r="139" spans="1:6" ht="15" customHeight="1" x14ac:dyDescent="0.55000000000000004">
      <c r="A139" s="19"/>
      <c r="B139" s="19"/>
      <c r="C139" s="19"/>
      <c r="D139" s="19"/>
      <c r="E139" s="19"/>
      <c r="F139" s="19"/>
    </row>
    <row r="140" spans="1:6" ht="15" customHeight="1" x14ac:dyDescent="0.55000000000000004">
      <c r="A140" s="19"/>
      <c r="B140" s="19"/>
      <c r="C140" s="19"/>
      <c r="D140" s="19"/>
      <c r="E140" s="19"/>
      <c r="F140" s="19"/>
    </row>
    <row r="141" spans="1:6" ht="15" customHeight="1" x14ac:dyDescent="0.55000000000000004">
      <c r="A141" s="19"/>
      <c r="B141" s="19"/>
      <c r="C141" s="19"/>
      <c r="D141" s="19"/>
      <c r="E141" s="19"/>
      <c r="F141" s="19"/>
    </row>
    <row r="142" spans="1:6" ht="15" customHeight="1" x14ac:dyDescent="0.55000000000000004">
      <c r="A142" s="19"/>
      <c r="B142" s="19"/>
      <c r="C142" s="19"/>
      <c r="D142" s="19"/>
      <c r="E142" s="19"/>
      <c r="F142" s="19"/>
    </row>
    <row r="143" spans="1:6" ht="15" customHeight="1" x14ac:dyDescent="0.55000000000000004">
      <c r="A143" s="19"/>
      <c r="B143" s="19"/>
      <c r="C143" s="19"/>
      <c r="D143" s="19"/>
      <c r="E143" s="19"/>
      <c r="F143" s="19"/>
    </row>
    <row r="144" spans="1:6" ht="15" customHeight="1" x14ac:dyDescent="0.55000000000000004">
      <c r="A144" s="19"/>
      <c r="B144" s="19"/>
      <c r="C144" s="19"/>
      <c r="D144" s="19"/>
      <c r="E144" s="19"/>
      <c r="F144" s="19"/>
    </row>
    <row r="145" spans="1:6" ht="15" customHeight="1" x14ac:dyDescent="0.55000000000000004">
      <c r="A145" s="19"/>
      <c r="B145" s="19"/>
      <c r="C145" s="19"/>
      <c r="D145" s="19"/>
      <c r="E145" s="19"/>
      <c r="F145" s="19"/>
    </row>
    <row r="146" spans="1:6" ht="15" customHeight="1" x14ac:dyDescent="0.55000000000000004">
      <c r="A146" s="19"/>
      <c r="B146" s="19"/>
      <c r="C146" s="19"/>
      <c r="D146" s="19"/>
      <c r="E146" s="19"/>
      <c r="F146" s="19"/>
    </row>
    <row r="147" spans="1:6" ht="15" customHeight="1" x14ac:dyDescent="0.55000000000000004">
      <c r="A147" s="19"/>
      <c r="B147" s="19"/>
      <c r="C147" s="19"/>
      <c r="D147" s="19"/>
      <c r="E147" s="19"/>
      <c r="F147" s="19"/>
    </row>
    <row r="148" spans="1:6" ht="15" customHeight="1" x14ac:dyDescent="0.55000000000000004">
      <c r="A148" s="19"/>
      <c r="B148" s="19"/>
      <c r="C148" s="19"/>
      <c r="D148" s="19"/>
      <c r="E148" s="19"/>
      <c r="F148" s="19"/>
    </row>
    <row r="149" spans="1:6" ht="15" customHeight="1" x14ac:dyDescent="0.55000000000000004">
      <c r="A149" s="19"/>
      <c r="B149" s="19"/>
      <c r="C149" s="19"/>
      <c r="D149" s="19"/>
      <c r="E149" s="19"/>
      <c r="F149" s="19"/>
    </row>
    <row r="150" spans="1:6" ht="15" customHeight="1" x14ac:dyDescent="0.55000000000000004">
      <c r="A150" s="19"/>
      <c r="B150" s="19"/>
      <c r="C150" s="19"/>
      <c r="D150" s="19"/>
      <c r="E150" s="19"/>
      <c r="F150" s="19"/>
    </row>
    <row r="151" spans="1:6" ht="15" customHeight="1" x14ac:dyDescent="0.55000000000000004">
      <c r="A151" s="19"/>
      <c r="B151" s="19"/>
      <c r="C151" s="19"/>
      <c r="D151" s="19"/>
      <c r="E151" s="19"/>
      <c r="F151" s="19"/>
    </row>
    <row r="152" spans="1:6" ht="15" customHeight="1" x14ac:dyDescent="0.55000000000000004">
      <c r="A152" s="19"/>
      <c r="B152" s="19"/>
      <c r="C152" s="19"/>
      <c r="D152" s="19"/>
      <c r="E152" s="19"/>
      <c r="F152" s="19"/>
    </row>
    <row r="153" spans="1:6" ht="15" customHeight="1" x14ac:dyDescent="0.55000000000000004">
      <c r="A153" s="19"/>
      <c r="B153" s="19"/>
      <c r="C153" s="19"/>
      <c r="D153" s="19"/>
      <c r="E153" s="19"/>
      <c r="F153" s="19"/>
    </row>
    <row r="154" spans="1:6" ht="15" customHeight="1" x14ac:dyDescent="0.55000000000000004">
      <c r="A154" s="19"/>
      <c r="B154" s="19"/>
      <c r="C154" s="19"/>
      <c r="D154" s="19"/>
      <c r="E154" s="19"/>
      <c r="F154" s="19"/>
    </row>
    <row r="155" spans="1:6" ht="15" customHeight="1" x14ac:dyDescent="0.55000000000000004">
      <c r="A155" s="19"/>
      <c r="B155" s="19"/>
      <c r="C155" s="19"/>
      <c r="D155" s="19"/>
      <c r="E155" s="19"/>
      <c r="F155" s="19"/>
    </row>
    <row r="156" spans="1:6" ht="15" customHeight="1" x14ac:dyDescent="0.55000000000000004">
      <c r="A156" s="19"/>
      <c r="B156" s="19"/>
      <c r="C156" s="19"/>
      <c r="D156" s="19"/>
      <c r="E156" s="19"/>
      <c r="F156" s="19"/>
    </row>
    <row r="157" spans="1:6" ht="15" customHeight="1" x14ac:dyDescent="0.55000000000000004">
      <c r="A157" s="19"/>
      <c r="B157" s="19"/>
      <c r="C157" s="19"/>
      <c r="D157" s="19"/>
      <c r="E157" s="19"/>
      <c r="F157" s="19"/>
    </row>
    <row r="158" spans="1:6" ht="15" customHeight="1" x14ac:dyDescent="0.55000000000000004">
      <c r="A158" s="19"/>
      <c r="B158" s="19"/>
      <c r="C158" s="19"/>
      <c r="D158" s="19"/>
      <c r="E158" s="19"/>
      <c r="F158" s="19"/>
    </row>
    <row r="159" spans="1:6" ht="15" customHeight="1" x14ac:dyDescent="0.55000000000000004">
      <c r="A159" s="19"/>
      <c r="B159" s="19"/>
      <c r="C159" s="19"/>
      <c r="D159" s="19"/>
      <c r="E159" s="19"/>
      <c r="F159" s="19"/>
    </row>
    <row r="160" spans="1:6" ht="15" customHeight="1" x14ac:dyDescent="0.55000000000000004">
      <c r="A160" s="19"/>
      <c r="B160" s="19"/>
      <c r="C160" s="19"/>
      <c r="D160" s="19"/>
      <c r="E160" s="19"/>
      <c r="F160" s="19"/>
    </row>
    <row r="161" spans="1:6" ht="15" customHeight="1" x14ac:dyDescent="0.55000000000000004">
      <c r="A161" s="19"/>
      <c r="B161" s="19"/>
      <c r="C161" s="19"/>
      <c r="D161" s="19"/>
      <c r="E161" s="19"/>
      <c r="F161" s="19"/>
    </row>
    <row r="162" spans="1:6" ht="15" customHeight="1" x14ac:dyDescent="0.55000000000000004">
      <c r="A162" s="19"/>
      <c r="B162" s="19"/>
      <c r="C162" s="19"/>
      <c r="D162" s="19"/>
      <c r="E162" s="19"/>
      <c r="F162" s="19"/>
    </row>
    <row r="163" spans="1:6" ht="15" customHeight="1" x14ac:dyDescent="0.55000000000000004">
      <c r="A163" s="19"/>
      <c r="B163" s="19"/>
      <c r="C163" s="19"/>
      <c r="D163" s="19"/>
      <c r="E163" s="19"/>
      <c r="F163" s="19"/>
    </row>
    <row r="164" spans="1:6" ht="15" customHeight="1" x14ac:dyDescent="0.55000000000000004">
      <c r="A164" s="19"/>
      <c r="B164" s="19"/>
      <c r="C164" s="19"/>
      <c r="D164" s="19"/>
      <c r="E164" s="19"/>
      <c r="F164" s="19"/>
    </row>
    <row r="165" spans="1:6" ht="15" customHeight="1" x14ac:dyDescent="0.55000000000000004">
      <c r="A165" s="19"/>
      <c r="B165" s="19"/>
      <c r="C165" s="19"/>
      <c r="D165" s="19"/>
      <c r="E165" s="19"/>
      <c r="F165" s="19"/>
    </row>
    <row r="166" spans="1:6" ht="15" customHeight="1" x14ac:dyDescent="0.55000000000000004">
      <c r="A166" s="19"/>
      <c r="B166" s="19"/>
      <c r="C166" s="19"/>
      <c r="D166" s="19"/>
      <c r="E166" s="19"/>
      <c r="F166" s="19"/>
    </row>
    <row r="167" spans="1:6" ht="15" customHeight="1" x14ac:dyDescent="0.55000000000000004">
      <c r="A167" s="19"/>
      <c r="B167" s="19"/>
      <c r="C167" s="19"/>
      <c r="D167" s="19"/>
      <c r="E167" s="19"/>
      <c r="F167" s="19"/>
    </row>
    <row r="168" spans="1:6" ht="15" customHeight="1" x14ac:dyDescent="0.55000000000000004">
      <c r="A168" s="19"/>
      <c r="B168" s="19"/>
      <c r="C168" s="19"/>
      <c r="D168" s="19"/>
      <c r="E168" s="19"/>
      <c r="F168" s="19"/>
    </row>
    <row r="169" spans="1:6" ht="15" customHeight="1" x14ac:dyDescent="0.55000000000000004">
      <c r="A169" s="19"/>
      <c r="B169" s="19"/>
      <c r="C169" s="19"/>
      <c r="D169" s="19"/>
      <c r="E169" s="19"/>
      <c r="F169" s="19"/>
    </row>
    <row r="170" spans="1:6" ht="15" customHeight="1" x14ac:dyDescent="0.55000000000000004">
      <c r="A170" s="19"/>
      <c r="B170" s="19"/>
      <c r="C170" s="19"/>
      <c r="D170" s="19"/>
      <c r="E170" s="19"/>
      <c r="F170" s="19"/>
    </row>
    <row r="171" spans="1:6" ht="15" customHeight="1" x14ac:dyDescent="0.55000000000000004">
      <c r="A171" s="19"/>
      <c r="B171" s="19"/>
      <c r="C171" s="19"/>
      <c r="D171" s="19"/>
      <c r="E171" s="19"/>
      <c r="F171" s="19"/>
    </row>
    <row r="172" spans="1:6" ht="15" customHeight="1" x14ac:dyDescent="0.55000000000000004">
      <c r="A172" s="19"/>
      <c r="B172" s="19"/>
      <c r="C172" s="19"/>
      <c r="D172" s="19"/>
      <c r="E172" s="19"/>
      <c r="F172" s="19"/>
    </row>
    <row r="173" spans="1:6" ht="15" customHeight="1" x14ac:dyDescent="0.55000000000000004">
      <c r="A173" s="19"/>
      <c r="B173" s="19"/>
      <c r="C173" s="19"/>
      <c r="D173" s="19"/>
      <c r="E173" s="19"/>
      <c r="F173" s="19"/>
    </row>
    <row r="174" spans="1:6" ht="15" customHeight="1" x14ac:dyDescent="0.55000000000000004">
      <c r="A174" s="19"/>
      <c r="B174" s="19"/>
      <c r="C174" s="19"/>
      <c r="D174" s="19"/>
      <c r="E174" s="19"/>
      <c r="F174" s="19"/>
    </row>
    <row r="175" spans="1:6" ht="15" customHeight="1" x14ac:dyDescent="0.55000000000000004">
      <c r="A175" s="19"/>
      <c r="B175" s="19"/>
      <c r="C175" s="19"/>
      <c r="D175" s="19"/>
      <c r="E175" s="19"/>
      <c r="F175" s="19"/>
    </row>
    <row r="176" spans="1:6" ht="15" customHeight="1" x14ac:dyDescent="0.55000000000000004">
      <c r="A176" s="19"/>
      <c r="B176" s="19"/>
      <c r="C176" s="19"/>
      <c r="D176" s="19"/>
      <c r="E176" s="19"/>
      <c r="F176" s="19"/>
    </row>
    <row r="177" spans="1:6" ht="15" customHeight="1" x14ac:dyDescent="0.55000000000000004">
      <c r="A177" s="19"/>
      <c r="B177" s="19"/>
      <c r="C177" s="19"/>
      <c r="D177" s="19"/>
      <c r="E177" s="19"/>
      <c r="F177" s="19"/>
    </row>
    <row r="178" spans="1:6" ht="15" customHeight="1" x14ac:dyDescent="0.55000000000000004">
      <c r="A178" s="19"/>
      <c r="B178" s="19"/>
      <c r="C178" s="19"/>
      <c r="D178" s="19"/>
      <c r="E178" s="19"/>
      <c r="F178" s="19"/>
    </row>
    <row r="179" spans="1:6" ht="15" customHeight="1" x14ac:dyDescent="0.55000000000000004">
      <c r="A179" s="19"/>
      <c r="B179" s="19"/>
      <c r="C179" s="19"/>
      <c r="D179" s="19"/>
      <c r="E179" s="19"/>
      <c r="F179" s="19"/>
    </row>
    <row r="180" spans="1:6" ht="15" customHeight="1" x14ac:dyDescent="0.55000000000000004">
      <c r="A180" s="19"/>
      <c r="B180" s="19"/>
      <c r="C180" s="19"/>
      <c r="D180" s="19"/>
      <c r="E180" s="19"/>
      <c r="F180" s="19"/>
    </row>
    <row r="181" spans="1:6" ht="15" customHeight="1" x14ac:dyDescent="0.55000000000000004">
      <c r="A181" s="19"/>
      <c r="B181" s="19"/>
      <c r="C181" s="19"/>
      <c r="D181" s="19"/>
      <c r="E181" s="19"/>
      <c r="F181" s="19"/>
    </row>
    <row r="182" spans="1:6" ht="15" customHeight="1" x14ac:dyDescent="0.55000000000000004">
      <c r="A182" s="19"/>
      <c r="B182" s="19"/>
      <c r="C182" s="19"/>
      <c r="D182" s="19"/>
      <c r="E182" s="19"/>
      <c r="F182" s="19"/>
    </row>
    <row r="183" spans="1:6" ht="15" customHeight="1" x14ac:dyDescent="0.55000000000000004">
      <c r="A183" s="19"/>
      <c r="B183" s="19"/>
      <c r="C183" s="19"/>
      <c r="D183" s="19"/>
      <c r="E183" s="19"/>
      <c r="F183" s="19"/>
    </row>
    <row r="184" spans="1:6" ht="15" customHeight="1" x14ac:dyDescent="0.55000000000000004">
      <c r="A184" s="19"/>
      <c r="B184" s="19"/>
      <c r="C184" s="19"/>
      <c r="D184" s="19"/>
      <c r="E184" s="19"/>
      <c r="F184" s="19"/>
    </row>
    <row r="185" spans="1:6" ht="15" customHeight="1" x14ac:dyDescent="0.55000000000000004">
      <c r="A185" s="19"/>
      <c r="B185" s="19"/>
      <c r="C185" s="19"/>
      <c r="D185" s="19"/>
      <c r="E185" s="19"/>
      <c r="F185" s="19"/>
    </row>
    <row r="186" spans="1:6" ht="15" customHeight="1" x14ac:dyDescent="0.55000000000000004">
      <c r="A186" s="19"/>
      <c r="B186" s="19"/>
      <c r="C186" s="19"/>
      <c r="D186" s="19"/>
      <c r="E186" s="19"/>
      <c r="F186" s="19"/>
    </row>
    <row r="187" spans="1:6" ht="15" customHeight="1" x14ac:dyDescent="0.55000000000000004">
      <c r="A187" s="19"/>
      <c r="B187" s="19"/>
      <c r="C187" s="19"/>
      <c r="D187" s="19"/>
      <c r="E187" s="19"/>
      <c r="F187" s="19"/>
    </row>
    <row r="188" spans="1:6" ht="15" customHeight="1" x14ac:dyDescent="0.55000000000000004">
      <c r="A188" s="19"/>
      <c r="B188" s="19"/>
      <c r="C188" s="19"/>
      <c r="D188" s="19"/>
      <c r="E188" s="19"/>
      <c r="F188" s="19"/>
    </row>
    <row r="189" spans="1:6" ht="15" customHeight="1" x14ac:dyDescent="0.55000000000000004">
      <c r="A189" s="19"/>
      <c r="B189" s="19"/>
      <c r="C189" s="19"/>
      <c r="D189" s="19"/>
      <c r="E189" s="19"/>
      <c r="F189" s="19"/>
    </row>
    <row r="190" spans="1:6" ht="15" customHeight="1" x14ac:dyDescent="0.55000000000000004">
      <c r="A190" s="19"/>
      <c r="B190" s="19"/>
      <c r="C190" s="19"/>
      <c r="D190" s="19"/>
      <c r="E190" s="19"/>
      <c r="F190" s="19"/>
    </row>
    <row r="191" spans="1:6" ht="15" customHeight="1" x14ac:dyDescent="0.55000000000000004">
      <c r="A191" s="19"/>
      <c r="B191" s="19"/>
      <c r="C191" s="19"/>
      <c r="D191" s="19"/>
      <c r="E191" s="19"/>
      <c r="F191" s="19"/>
    </row>
    <row r="192" spans="1:6" ht="15" customHeight="1" x14ac:dyDescent="0.55000000000000004">
      <c r="A192" s="19"/>
      <c r="B192" s="19"/>
      <c r="C192" s="19"/>
      <c r="D192" s="19"/>
      <c r="E192" s="19"/>
      <c r="F192" s="19"/>
    </row>
    <row r="193" spans="1:6" ht="15" customHeight="1" x14ac:dyDescent="0.55000000000000004">
      <c r="A193" s="19"/>
      <c r="B193" s="19"/>
      <c r="C193" s="19"/>
      <c r="D193" s="19"/>
      <c r="E193" s="19"/>
      <c r="F193" s="19"/>
    </row>
    <row r="194" spans="1:6" ht="15" customHeight="1" x14ac:dyDescent="0.55000000000000004">
      <c r="A194" s="19"/>
      <c r="B194" s="19"/>
      <c r="C194" s="19"/>
      <c r="D194" s="19"/>
      <c r="E194" s="19"/>
      <c r="F194" s="19"/>
    </row>
    <row r="195" spans="1:6" ht="15" customHeight="1" x14ac:dyDescent="0.55000000000000004">
      <c r="A195" s="19"/>
      <c r="B195" s="19"/>
      <c r="C195" s="19"/>
      <c r="D195" s="19"/>
      <c r="E195" s="19"/>
      <c r="F195" s="19"/>
    </row>
    <row r="196" spans="1:6" ht="15" customHeight="1" x14ac:dyDescent="0.55000000000000004">
      <c r="A196" s="19"/>
      <c r="B196" s="19"/>
      <c r="C196" s="19"/>
      <c r="D196" s="19"/>
      <c r="E196" s="19"/>
      <c r="F196" s="19"/>
    </row>
    <row r="197" spans="1:6" ht="15" customHeight="1" x14ac:dyDescent="0.55000000000000004">
      <c r="A197" s="19"/>
      <c r="B197" s="19"/>
      <c r="C197" s="19"/>
      <c r="D197" s="19"/>
      <c r="E197" s="19"/>
      <c r="F197" s="19"/>
    </row>
    <row r="198" spans="1:6" ht="15" customHeight="1" x14ac:dyDescent="0.55000000000000004">
      <c r="A198" s="19"/>
      <c r="B198" s="19"/>
      <c r="C198" s="19"/>
      <c r="D198" s="19"/>
      <c r="E198" s="19"/>
      <c r="F198" s="19"/>
    </row>
    <row r="199" spans="1:6" ht="15" customHeight="1" x14ac:dyDescent="0.55000000000000004">
      <c r="A199" s="19"/>
      <c r="B199" s="19"/>
      <c r="C199" s="19"/>
      <c r="D199" s="19"/>
      <c r="E199" s="19"/>
      <c r="F199" s="19"/>
    </row>
    <row r="200" spans="1:6" ht="15" customHeight="1" x14ac:dyDescent="0.55000000000000004">
      <c r="A200" s="19"/>
      <c r="B200" s="19"/>
      <c r="C200" s="19"/>
      <c r="D200" s="19"/>
      <c r="E200" s="19"/>
      <c r="F200" s="19"/>
    </row>
    <row r="201" spans="1:6" ht="15" customHeight="1" x14ac:dyDescent="0.55000000000000004">
      <c r="A201" s="19"/>
      <c r="B201" s="19"/>
      <c r="C201" s="19"/>
      <c r="D201" s="19"/>
      <c r="E201" s="19"/>
      <c r="F201" s="19"/>
    </row>
    <row r="202" spans="1:6" ht="15" customHeight="1" x14ac:dyDescent="0.55000000000000004">
      <c r="A202" s="19"/>
      <c r="B202" s="19"/>
      <c r="C202" s="19"/>
      <c r="D202" s="19"/>
      <c r="E202" s="19"/>
      <c r="F202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5543-49E0-4D99-95A2-5601D0E1B01A}">
  <dimension ref="A1:B4"/>
  <sheetViews>
    <sheetView workbookViewId="0"/>
  </sheetViews>
  <sheetFormatPr defaultRowHeight="14.4" x14ac:dyDescent="0.55000000000000004"/>
  <cols>
    <col min="1" max="1" width="35.3671875" customWidth="1"/>
    <col min="2" max="2" width="51.7890625" customWidth="1"/>
  </cols>
  <sheetData>
    <row r="1" spans="1:2" s="26" customFormat="1" x14ac:dyDescent="0.55000000000000004">
      <c r="A1" s="26" t="s">
        <v>421</v>
      </c>
      <c r="B1" s="26" t="s">
        <v>420</v>
      </c>
    </row>
    <row r="2" spans="1:2" x14ac:dyDescent="0.55000000000000004">
      <c r="A2" s="27" t="s">
        <v>416</v>
      </c>
      <c r="B2" t="s">
        <v>417</v>
      </c>
    </row>
    <row r="3" spans="1:2" x14ac:dyDescent="0.55000000000000004">
      <c r="A3" s="27"/>
      <c r="B3" t="s">
        <v>418</v>
      </c>
    </row>
    <row r="4" spans="1:2" x14ac:dyDescent="0.55000000000000004">
      <c r="A4" s="27"/>
      <c r="B4" t="s">
        <v>419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Plan</vt:lpstr>
      <vt:lpstr>Mistake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Soni, Deepesh</cp:lastModifiedBy>
  <cp:revision>0</cp:revision>
  <dcterms:created xsi:type="dcterms:W3CDTF">2026-10-03T13:00:16Z</dcterms:created>
  <dcterms:modified xsi:type="dcterms:W3CDTF">2026-10-04T10:02:11Z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943263-359c-40f3-9055-10c40e962bbe_Enabled">
    <vt:lpwstr>true</vt:lpwstr>
  </property>
  <property fmtid="{D5CDD505-2E9C-101B-9397-08002B2CF9AE}" pid="3" name="MSIP_Label_df943263-359c-40f3-9055-10c40e962bbe_SetDate">
    <vt:lpwstr>2026-10-03T13:50:29Z</vt:lpwstr>
  </property>
  <property fmtid="{D5CDD505-2E9C-101B-9397-08002B2CF9AE}" pid="4" name="MSIP_Label_df943263-359c-40f3-9055-10c40e962bbe_Method">
    <vt:lpwstr>Standard</vt:lpwstr>
  </property>
  <property fmtid="{D5CDD505-2E9C-101B-9397-08002B2CF9AE}" pid="5" name="MSIP_Label_df943263-359c-40f3-9055-10c40e962bbe_Name">
    <vt:lpwstr>Confidential</vt:lpwstr>
  </property>
  <property fmtid="{D5CDD505-2E9C-101B-9397-08002B2CF9AE}" pid="6" name="MSIP_Label_df943263-359c-40f3-9055-10c40e962bbe_SiteId">
    <vt:lpwstr>c70bd33c-499a-46b7-aa9d-b0ff7510fc93</vt:lpwstr>
  </property>
  <property fmtid="{D5CDD505-2E9C-101B-9397-08002B2CF9AE}" pid="7" name="MSIP_Label_df943263-359c-40f3-9055-10c40e962bbe_ActionId">
    <vt:lpwstr>c3c7c47f-b4a4-42d3-b387-11a9d682c187</vt:lpwstr>
  </property>
  <property fmtid="{D5CDD505-2E9C-101B-9397-08002B2CF9AE}" pid="8" name="MSIP_Label_df943263-359c-40f3-9055-10c40e962bbe_ContentBits">
    <vt:lpwstr>0</vt:lpwstr>
  </property>
  <property fmtid="{D5CDD505-2E9C-101B-9397-08002B2CF9AE}" pid="9" name="MSIP_Label_df943263-359c-40f3-9055-10c40e962bbe_Tag">
    <vt:lpwstr>10, 3, 0, 1</vt:lpwstr>
  </property>
</Properties>
</file>